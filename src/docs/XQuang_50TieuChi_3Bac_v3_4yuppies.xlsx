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G:\My Drive\YUP\Chien luoc YUP\Magnet HKD\"/>
    </mc:Choice>
  </mc:AlternateContent>
  <xr:revisionPtr revIDLastSave="0" documentId="13_ncr:20001_{69D57925-C20D-434B-9F6C-1B1F3D6E28F8}" xr6:coauthVersionLast="47" xr6:coauthVersionMax="47" xr10:uidLastSave="{00000000-0000-0000-0000-000000000000}"/>
  <bookViews>
    <workbookView xWindow="-120" yWindow="-120" windowWidth="29040" windowHeight="15720" activeTab="2" xr2:uid="{00000000-000D-0000-FFFF-FFFF00000000}"/>
  </bookViews>
  <sheets>
    <sheet name="🏠 Trang Bìa" sheetId="1" r:id="rId1"/>
    <sheet name="📝 Bảng Chẩn Đoán" sheetId="2" r:id="rId2"/>
    <sheet name="📈 Kết Quả &amp; Chẩn Đoán" sheetId="3" r:id="rId3"/>
  </sheets>
  <calcPr calcId="191029"/>
  <fileRecoveryPr repairLoad="1"/>
</workbook>
</file>

<file path=xl/calcChain.xml><?xml version="1.0" encoding="utf-8"?>
<calcChain xmlns="http://schemas.openxmlformats.org/spreadsheetml/2006/main">
  <c r="C13" i="3" l="1"/>
  <c r="E13" i="3" s="1"/>
  <c r="C17" i="3"/>
  <c r="C16" i="3"/>
  <c r="C15" i="3"/>
  <c r="C14" i="3"/>
  <c r="C7" i="3"/>
  <c r="C8" i="3"/>
  <c r="F17" i="3" l="1"/>
  <c r="E17" i="3"/>
  <c r="F16" i="3"/>
  <c r="E16" i="3"/>
  <c r="F15" i="3"/>
  <c r="E15" i="3"/>
  <c r="F14" i="3"/>
  <c r="E14" i="3"/>
  <c r="F13" i="3"/>
  <c r="C9" i="3"/>
  <c r="D59" i="2"/>
  <c r="C6" i="3" s="1"/>
  <c r="E59" i="2" l="1"/>
  <c r="C5" i="3"/>
</calcChain>
</file>

<file path=xl/sharedStrings.xml><?xml version="1.0" encoding="utf-8"?>
<sst xmlns="http://schemas.openxmlformats.org/spreadsheetml/2006/main" count="350" uniqueCount="295">
  <si>
    <t>YUP EDUCATION</t>
  </si>
  <si>
    <t>BẢN CHỤP X-QUANG
50 TIÊU CHÍ VẬN HÀNH BỀN VỮNG</t>
  </si>
  <si>
    <t>CÔNG CỤ CHẨN ĐOÁN SỨC KHỎE DOANH NGHIỆP  ·  YUP Giải Mã 2026</t>
  </si>
  <si>
    <t>Tên doanh nghiệp / cửa hàng:  ______________________________     Ngày chẩn đoán:  _______________</t>
  </si>
  <si>
    <t>📋   HƯỚNG DẪN SỬ DỤNG  (20–30 phút)</t>
  </si>
  <si>
    <t>BƯỚC 1</t>
  </si>
  <si>
    <t>Mở sheet '📝 Bảng Chẩn Đoán'.</t>
  </si>
  <si>
    <t>BƯỚC 2</t>
  </si>
  <si>
    <t>Với mỗi tiêu chí, đọc CÂU HỎI rồi chọn một trong 3 đáp án trong cột màu vàng:
✅ Có hệ thống  →  Đang làm tốt, nhất quán, có thể chứng minh bằng số liệu
🔄 Đang xây dựng  →  Đã bắt đầu nhưng chưa nhất quán hoặc chưa thành hệ thống
❌ Chưa có  →  Chưa làm, làm theo cảm tính hoặc chưa bao giờ nghĩ đến</t>
  </si>
  <si>
    <t>BƯỚC 3</t>
  </si>
  <si>
    <t>Đọc mô tả 3 đáp án ở các cột bên cạnh nếu chưa chắc mình đang ở mức nào.</t>
  </si>
  <si>
    <t>BƯỚC 4</t>
  </si>
  <si>
    <t>Mở sheet '📈 Kết Quả &amp; Chẩn Đoán' — điểm số tự động hiện ra.</t>
  </si>
  <si>
    <t>BƯỚC 5</t>
  </si>
  <si>
    <t>Mang kết quả đến Buổi 2 để YUP hỗ trợ lập Lộ trình hành động 90 ngày.</t>
  </si>
  <si>
    <t>🎯   THANG ĐIỂM  ·  Tổng tối đa 100 điểm</t>
  </si>
  <si>
    <t>✅ Có hệ thống</t>
  </si>
  <si>
    <t>2 điểm</t>
  </si>
  <si>
    <t>Đang làm tốt, nhất quán và có thể chứng minh</t>
  </si>
  <si>
    <t>🔄 Đang xây dựng</t>
  </si>
  <si>
    <t>1 điểm</t>
  </si>
  <si>
    <t>Đã bắt đầu nhưng chưa ổn định, còn phụ thuộc vào người</t>
  </si>
  <si>
    <t>❌ Chưa có</t>
  </si>
  <si>
    <t>0 điểm</t>
  </si>
  <si>
    <t>Chưa làm, làm theo cảm tính hoặc không biết bắt đầu từ đâu</t>
  </si>
  <si>
    <t>🏛️   5 TRỤ CỘT  ·  10 tiêu chí mỗi trụ  ·  Tối đa 20 điểm/trụ</t>
  </si>
  <si>
    <t>I.   TÀI CHÍNH &amp; DÒNG TIỀN</t>
  </si>
  <si>
    <t>Phát hiện lãi ảo, dòng tiền âm, lỗ hổng thuế và rủi ro pháp lý 2026</t>
  </si>
  <si>
    <t>II.  DOANH THU &amp; KHÁCH HÀNG</t>
  </si>
  <si>
    <t>Đánh giá khả năng giữ chân khách, hiệu quả marketing và đa dạng doanh thu</t>
  </si>
  <si>
    <t>III. VẬN HÀNH &amp; QUY TRÌNH</t>
  </si>
  <si>
    <t>Kiểm tra SOP, kiểm soát kho, phát hiện thất thoát và năng suất vận hành</t>
  </si>
  <si>
    <t>IV.  NHÂN SỰ &amp; ĐỘI NGŨ</t>
  </si>
  <si>
    <t>Chẩn đoán năng lực đội ngũ, khả năng phân quyền và văn hóa nội bộ</t>
  </si>
  <si>
    <t>V.   LÃNH ĐẠO &amp; TĂNG TRƯỞNG</t>
  </si>
  <si>
    <t>Tư duy chủ, sự sẵn sàng mở rộng và nền tảng pháp lý bền vững</t>
  </si>
  <si>
    <t>© YUP Education  ·  Tài liệu độc quyền – Không phát tán  ·  Giải Mã 2026</t>
  </si>
  <si>
    <t>📝   BẢNG CHẨN ĐOÁN  ·  50 TIÊU CHÍ  ·  3 BẬC  ·  YUP Education – Giải Mã 2026</t>
  </si>
  <si>
    <t>Đọc câu hỏi → Chọn đáp án trong cột vàng → Đọc mô tả 3 cột bên phải nếu chưa chắc</t>
  </si>
  <si>
    <t>#</t>
  </si>
  <si>
    <t>Câu hỏi chẩn đoán</t>
  </si>
  <si>
    <t>Đáp án của bạn
(chọn từ dropdown)</t>
  </si>
  <si>
    <t>✅ Có hệ thống
(2 điểm)</t>
  </si>
  <si>
    <t>🔄 Đang xây dựng
(1 điểm)</t>
  </si>
  <si>
    <t>❌ Chưa có
(0 điểm)</t>
  </si>
  <si>
    <t>Ghi chú / Bằng chứng thực tế</t>
  </si>
  <si>
    <t xml:space="preserve">   I.   TÀI CHÍNH &amp; DÒNG TIỀN     (Tiêu chí #1 – #10)</t>
  </si>
  <si>
    <t>Tài khoản ngân hàng kinh doanh có được tách biệt hoàn toàn với tài khoản cá nhân?</t>
  </si>
  <si>
    <t>Có tài khoản riêng, KHÔNG có giao dịch cá nhân lẫn vào</t>
  </si>
  <si>
    <t>Có tài khoản riêng nhưng đôi khi vẫn dùng lẫn với cá nhân</t>
  </si>
  <si>
    <t>Dùng chung một tài khoản cho cả kinh doanh và cá nhân</t>
  </si>
  <si>
    <t>Bạn phân biệt được 'Lãi Thật' (tiền mặt thực có) với 'Lãi Ảo' (lãi trên sổ sách nhưng tiền đang bị chôn ở hàng tồn/công nợ)?</t>
  </si>
  <si>
    <t>Theo dõi cả hai, biết ngay con số mỗi cuối tháng</t>
  </si>
  <si>
    <t>Hiểu khái niệm nhưng chưa theo dõi thường xuyên</t>
  </si>
  <si>
    <t>Không phân biệt được, chỉ nhìn vào doanh thu</t>
  </si>
  <si>
    <t>Bạn biết điểm hòa vốn (doanh thu tối thiểu để không lỗ) của tháng này là bao nhiêu?</t>
  </si>
  <si>
    <t>Biết con số chính xác và theo dõi hàng tháng</t>
  </si>
  <si>
    <t>Biết ước chừng nhưng chưa tính chính xác</t>
  </si>
  <si>
    <t>Không biết, chưa bao giờ tính</t>
  </si>
  <si>
    <t>Doanh nghiệp có quỹ dự phòng để vận hành tiếp nếu tháng tới doanh thu giảm mạnh?</t>
  </si>
  <si>
    <t>Có quỹ dự phòng ≥ 2 tháng chi phí vận hành</t>
  </si>
  <si>
    <t>Có dự phòng nhưng chỉ đủ dưới 1 tháng</t>
  </si>
  <si>
    <t>Không có quỹ dự phòng, tháng nào tiêu tháng đó</t>
  </si>
  <si>
    <t>Toàn bộ chi phí cố định hàng tháng có được liệt kê đầy đủ và xem xét định kỳ?</t>
  </si>
  <si>
    <t>Có bảng chi phí đầy đủ, xem lại ít nhất mỗi quý</t>
  </si>
  <si>
    <t>Có liệt kê nhưng chưa đầy đủ hoặc lâu không cập nhật</t>
  </si>
  <si>
    <t>Chưa bao giờ liệt kê, không biết tổng chi phí cố định</t>
  </si>
  <si>
    <t>Toàn bộ doanh thu (tiền mặt, chuyển khoản, ví điện tử) có được ghi nhận đầy đủ vào một hệ thống theo dõi duy nhất?</t>
  </si>
  <si>
    <t>100% doanh thu được ghi nhận, có thể truy xuất bất kỳ lúc nào</t>
  </si>
  <si>
    <t>Phần lớn được ghi nhận nhưng vẫn có khoản thu ngoài hệ thống</t>
  </si>
  <si>
    <t>Không ghi nhận đủ, chủ yếu nhớ trong đầu hoặc ghi tay rời rạc</t>
  </si>
  <si>
    <t>Dòng tiền thực tế (tiền trong tài khoản) có khớp với doanh thu — tức không xảy ra tình trạng doanh thu cao nhưng hết tiền mặt?</t>
  </si>
  <si>
    <t>Dòng tiền luôn dương, không bị hụt tiền cuối tháng</t>
  </si>
  <si>
    <t>Thỉnh thoảng bị căng tiền dù doanh thu ổn</t>
  </si>
  <si>
    <t>Thường xuyên hết tiền trước cuối tháng dù báo cáo có lãi</t>
  </si>
  <si>
    <t>Công nợ khách hàng còn nợ (nếu có) có được theo dõi có hện thanh toán và quy trình đòi nợ rõ ràng?</t>
  </si>
  <si>
    <t>Có danh sách công nợ chi tiết, có hạn thanh toán và nhắc tự động</t>
  </si>
  <si>
    <t>Có theo dõi nhưng không nhất quán, hay bị bỏ sót</t>
  </si>
  <si>
    <t>Không theo dõi, không biết ai đang nợ mình bao nhiêu</t>
  </si>
  <si>
    <t>Doanh nghiệp đang kê khai thuế đúng hạn và không có khoản phạt hay vi phạm thuế tồn đọng?</t>
  </si>
  <si>
    <t>Kê khai đúng hạn, không có phạt, sổ sách minh bạch</t>
  </si>
  <si>
    <t>Cơ bản đúng hạn nhưng còn một số khoản chưa rõ ràng</t>
  </si>
  <si>
    <t>Đang có vi phạm hoặc kê khai không đầy đủ</t>
  </si>
  <si>
    <t>Bạn có thể trả lời ngay 'Tháng trước lãi (hoặc lỗ) bao nhiêu tiền thực tế?' mà không cần tra sổ?</t>
  </si>
  <si>
    <t>Biết ngay, có thể trả lời trong vòng 1 phút</t>
  </si>
  <si>
    <t>Biết gần đúng nhưng phải tra lại để có số chính xác</t>
  </si>
  <si>
    <t>Không biết, phải mất nhiều thời gian mới tính được</t>
  </si>
  <si>
    <t xml:space="preserve">   II.  DOANH THU &amp; KHÁCH HÀNG     (Tiêu chí #11 – #20)</t>
  </si>
  <si>
    <t>Tỷ lệ khách hàng cũ quay lại mua tiếp (không cần chạy quảng cáo lại) đang ở mức nào?</t>
  </si>
  <si>
    <t>Hơn 40% doanh thu đến từ khách cũ tự quay lại</t>
  </si>
  <si>
    <t>Có khách quay lại nhưng dưới 40%, phần lớn vẫn phụ thuộc quảng cáo</t>
  </si>
  <si>
    <t>Hầu hết khách chỉ mua một lần, phải liên tục tìm khách mới</t>
  </si>
  <si>
    <t>Doanh nghiệp có quy trình chăm sóc sau bán hàng được thực hiện nhất quán cho mọi khách?</t>
  </si>
  <si>
    <t>Có quy trình rõ ràng (gọi điện, nhắn tin, email) — nhân viên thực hiện được mà không cần nhắc</t>
  </si>
  <si>
    <t>Có làm nhưng không nhất quán, phụ thuộc vào tâm trạng hoặc chỉ khi nhớ</t>
  </si>
  <si>
    <t>Chưa có, bán xong là xong</t>
  </si>
  <si>
    <t>Bạn biết sản phẩm hoặc dịch vụ nào đang tạo ra phần lớn doanh thu của mình?</t>
  </si>
  <si>
    <t>Biết rõ top 3 sản phẩm/dịch vụ chiếm &gt;60% doanh thu, có dữ liệu chứng minh</t>
  </si>
  <si>
    <t>Biết ước chừng nhưng chưa có số liệu cụ thể để chứng minh</t>
  </si>
  <si>
    <t>Không biết, bán gì cũng như nhau trong mắt mình</t>
  </si>
  <si>
    <t>Tỷ lệ đơn hàng bị hoàn trả, đổi trả hoặc khiếu nại đang ở mức nào?</t>
  </si>
  <si>
    <t>Dưới 3% — có quy trình xử lý rõ ràng và đang cải thiện liên tục</t>
  </si>
  <si>
    <t>Từ 3–7% — có xảy ra nhưng chưa tìm được nguyên nhân gốc rễ để xử lý</t>
  </si>
  <si>
    <t>Trên 7% hoặc không biết tỷ lệ vì chưa bao giờ đo</t>
  </si>
  <si>
    <t>Doanh nghiệp có ít nhất 2 kênh bán hàng độc lập đang hoạt động song song?</t>
  </si>
  <si>
    <t>Có ≥ 2 kênh, không kênh nào chiếm quá 60% doanh thu</t>
  </si>
  <si>
    <t>Đang có 2 kênh nhưng 1 kênh chiếm trên 80% — còn phụ thuộc nhiều</t>
  </si>
  <si>
    <t>Chỉ có 1 kênh duy nhất</t>
  </si>
  <si>
    <t>Khi có khách hàng phàn nàn hoặc đánh giá tiêu cực, doanh nghiệp xử lý như thế nào?</t>
  </si>
  <si>
    <t>Có quy trình xử lý rõ ràng, phản hồi trong 24 giờ, có người chịu trách nhiệm</t>
  </si>
  <si>
    <t>Có xử lý nhưng không nhất quán, đôi khi chậm hoặc bỏ sót</t>
  </si>
  <si>
    <t>Chưa có quy trình, xử lý theo cảm tính hoặc thường bỏ qua</t>
  </si>
  <si>
    <t>Bạn nắm rõ thông tin về nhóm khách hàng thân thiết nhất của mình?</t>
  </si>
  <si>
    <t>Có danh sách khách VIP, biết lịch sử mua hàng và có chiến lược chăm sóc riêng</t>
  </si>
  <si>
    <t>Biết mặt biết tên nhưng chưa có hệ thống lưu trữ hay chăm sóc bài bản</t>
  </si>
  <si>
    <t>Chưa phân loại khách hàng, đối xử như nhau với tất cả</t>
  </si>
  <si>
    <t>Doanh thu có được phân bổ từ nhiều nguồn thay vì phụ thuộc vào 1 khách hàng lớn hoặc 1 hợp đồng?</t>
  </si>
  <si>
    <t>Không có khách/hợp đồng nào chiếm quá 30% tổng doanh thu</t>
  </si>
  <si>
    <t>Có 1 nguồn chiếm 30–50% — đang ở ngưỡng rủi ro</t>
  </si>
  <si>
    <t>Có nguồn chiếm trên 50% — nếu mất nguồn đó sẽ nguy hiểm ngay</t>
  </si>
  <si>
    <t>Bạn đo lường được tỷ lệ chuyển đổi từ người hỏi/xem → người mua thực tế?</t>
  </si>
  <si>
    <t>Đo được, biết con số và đang tối ưu từng bước trong phễu</t>
  </si>
  <si>
    <t>Biết ước chừng nhưng chưa theo dõi hệ thống</t>
  </si>
  <si>
    <t>Chưa bao giờ đo, không biết mình đang mất khách ở bước nào</t>
  </si>
  <si>
    <t>Trong 6 tháng gần nhất, doanh nghiệp có thu thập phản hồi chính thức về mức độ hài lòng của khách hàng?</t>
  </si>
  <si>
    <t>Có khảo sát định kỳ, phân tích kết quả và điều chỉnh dịch vụ theo phản hồi</t>
  </si>
  <si>
    <t>Có hỏi thăm không chính thức nhưng chưa thu thập có hệ thống</t>
  </si>
  <si>
    <t>Chưa bao giờ khảo sát, tự cho rằng khách hàng hài lòng</t>
  </si>
  <si>
    <t xml:space="preserve">   III. VẬN HÀNH &amp; QUY TRÌNH     (Tiêu chí #21 – #30)</t>
  </si>
  <si>
    <t>Quy trình bán hàng từ lúc khách hỏi đến lúc nhận tiền có được viết thành tài liệu?</t>
  </si>
  <si>
    <t>Có SOP bằng văn bản, nhân viên đang thực hiện theo và được cập nhật định kỳ</t>
  </si>
  <si>
    <t>Có phác thảo quy trình nhưng nhân viên vẫn làm theo nhiều cách khác nhau</t>
  </si>
  <si>
    <t>Chưa có văn bản, quy trình chỉ nằm trong đầu chủ</t>
  </si>
  <si>
    <t>Nếu nhân viên chủ chốt nghỉ đột xuất, hoạt động kinh doanh vẫn diễn ra bình thường?</t>
  </si>
  <si>
    <t>Có người thay thế được ngay, quy trình đủ rõ để người khác tiếp quản</t>
  </si>
  <si>
    <t>Bị xáo trộn một chút nhưng vẫn xử lý được sau 1–2 ngày</t>
  </si>
  <si>
    <t>Gần như tê liệt — không ai biết làm thay, buộc phải gọi người nghỉ quay lại</t>
  </si>
  <si>
    <t>Tồn kho hàng hóa hoặc nguyên vật liệu có được theo dõi bằng công cụ (phần mềm hoặc bảng tính)?</t>
  </si>
  <si>
    <t>Có hệ thống theo dõi real-time, biết số lượng tồn chính xác bất kỳ lúc nào</t>
  </si>
  <si>
    <t>Có theo dõi nhưng không liên tục, phải kiểm kho thủ công định kỳ</t>
  </si>
  <si>
    <t>Dựa vào trí nhớ hoặc ước tính, không có công cụ theo dõi</t>
  </si>
  <si>
    <t>Doanh nghiệp có cơ chế phát hiện thất thoát tiền hoặc hàng trong vòng 24 giờ?</t>
  </si>
  <si>
    <t>Có kiểm tra chéo hàng ngày, sai lệch được phát hiện và xử lý ngay trong ngày</t>
  </si>
  <si>
    <t>Phát hiện được nhưng thường mất vài ngày mới nhận ra</t>
  </si>
  <si>
    <t>Chỉ phát hiện cuối tháng khi cộng sổ, thiệt hại đã xảy ra mới biết</t>
  </si>
  <si>
    <t>Tỷ lệ sai sót trong vận hành (giao nhầm hàng, làm sai dịch vụ, phải làm lại) đang ở mức nào?</t>
  </si>
  <si>
    <t>Dưới 2% — có quy trình kiểm tra chất lượng trước khi giao tới khách</t>
  </si>
  <si>
    <t>Từ 2–5% — có xảy ra nhưng chưa giải quyết được triệt để</t>
  </si>
  <si>
    <t>Trên 5% hoặc không biết tỷ lệ vì chưa bao giờ đo</t>
  </si>
  <si>
    <t>Khi giao việc cho nhân viên, mức độ hoàn thành đúng hạn và đúng yêu cầu như thế nào?</t>
  </si>
  <si>
    <t>Trên 80% việc hoàn thành đúng yêu cầu mà không cần nhắc lại</t>
  </si>
  <si>
    <t>Khoảng 50–80% — phải nhắc thường xuyên hoặc phải sửa lại</t>
  </si>
  <si>
    <t>Dưới 50% — giao việc xong phải theo sau để kiểm tra liên tục</t>
  </si>
  <si>
    <t>Doanh nghiệp có sử dụng phần mềm quản lý (bán hàng, kho, kế toán) thay vì ghi tay hoặc dùng nhóm chat để theo dõi đơn hàng?</t>
  </si>
  <si>
    <t>Có phần mềm, toàn bộ đội ngũ đang sử dụng nhất quán</t>
  </si>
  <si>
    <t>Có phần mềm nhưng chỉ dùng một phần, vẫn còn ghi tay song song</t>
  </si>
  <si>
    <t>Chưa có phần mềm, dùng zalo/messenger hoặc ghi tay</t>
  </si>
  <si>
    <t>Việc nhập hàng hoặc đặt nguyên liệu được quyết định dựa trên điều gì?</t>
  </si>
  <si>
    <t>Dựa trên dữ liệu bán hàng thực tế và dự báo nhu cầu</t>
  </si>
  <si>
    <t>Kết hợp giữa số liệu và cảm tính, đôi khi vẫn nhập sai</t>
  </si>
  <si>
    <t>Hoàn toàn theo cảm tính hoặc theo thói quen cũ</t>
  </si>
  <si>
    <t>Dữ liệu quan trọng (mật khẩu phần mềm, tài khoản mạng xã hội, danh sách khách hàng) có được lưu trữ an toàn và phân quyền truy cập?</t>
  </si>
  <si>
    <t>Có hệ thống lưu trữ an toàn, có phân quyền — không phụ thuộc vào trí nhớ một người</t>
  </si>
  <si>
    <t>Có lưu nhưng chưa phân quyền rõ ràng, dễ bị lộ hoặc mất quyền kiểm soát</t>
  </si>
  <si>
    <t>Không có hệ thống lưu trữ, phụ thuộc vào trí nhớ hoặc điện thoại cá nhân</t>
  </si>
  <si>
    <t>Có dashboard theo dõi ít nhất 5 KPI ops hàng tuần, có phân tích xu hướng</t>
  </si>
  <si>
    <t>Theo dõi 1–3 chỉ số cơ bản, chưa đủ toàn diện</t>
  </si>
  <si>
    <t>Chưa có chỉ số nào được theo dõi hệ thống</t>
  </si>
  <si>
    <t xml:space="preserve">   IV.  NHÂN SỰ &amp; ĐỘI NGŨ     (Tiêu chí #31 – #40)</t>
  </si>
  <si>
    <t>Mỗi nhân viên có bản mô tả công việc với KPI đo lường và tiêu chí đánh giá rõ ràng?</t>
  </si>
  <si>
    <t>Tất cả vị trí có JD và KPI bằng văn bản, nhân viên hiểu và ký xác nhận</t>
  </si>
  <si>
    <t>Một số vị trí có JD nhưng chưa đầy đủ hoặc chưa cập nhật</t>
  </si>
  <si>
    <t>Chưa có JD cho bất kỳ vị trí nào, phân công bằng miệng</t>
  </si>
  <si>
    <t>Bạn đo được năng suất của từng nhân viên bằng con số cụ thể?</t>
  </si>
  <si>
    <t>Có chỉ số năng suất cho từng người (doanh thu/người, đơn/ca…), xem lại hàng tuần</t>
  </si>
  <si>
    <t>Biết ước chừng ai làm tốt hơn nhưng không có số liệu để chứng minh</t>
  </si>
  <si>
    <t>Không đo được, không biết ai đang làm hiệu quả và ai đang 'ngồi chơi'</t>
  </si>
  <si>
    <t>Khi nhân viên mới vào, họ mất bao lâu để làm việc độc lập mà không cần bạn cầm tay chỉ việc?</t>
  </si>
  <si>
    <t>3–7 ngày — có quy trình onboarding bài bản và tài liệu hướng dẫn đầy đủ</t>
  </si>
  <si>
    <t>1–2 tuần — có hướng dẫn cơ bản nhưng phải kèm cặp nhiều</t>
  </si>
  <si>
    <t>Vài tuần đến vài tháng — phải cầm tay chỉ việc liên tục, rất tốn sức</t>
  </si>
  <si>
    <t>Tỷ lệ nhân viên nghỉ việc trong 3 tháng đầu (early turnover) đang ở mức nào?</t>
  </si>
  <si>
    <t>Dưới 20% — nhân viên mới thường ở lại và phát triển tốt</t>
  </si>
  <si>
    <t>20–40% — có nhân viên nghỉ sớm nhưng chưa tìm được nguyên nhân</t>
  </si>
  <si>
    <t>Trên 40% — tuyển liên tục vẫn thiếu người, vòng lặp tốn kém không dứt</t>
  </si>
  <si>
    <t>Hệ thống thưởng/phạt có được quy định bằng văn bản và áp dụng nhất quán với tất cả mọi người?</t>
  </si>
  <si>
    <t>Có quy định rõ bằng văn bản, áp dụng công bằng — không phụ thuộc tâm trạng chủ</t>
  </si>
  <si>
    <t>Có quy định nhưng áp dụng chưa nhất quán, đôi khi theo cảm tính</t>
  </si>
  <si>
    <t>Không có quy định văn bản, thưởng phạt hoàn toàn theo quyết định tức thời của chủ</t>
  </si>
  <si>
    <t>Nhân viên có được đào tạo về kỹ năng hoặc quy trình mới trong 6 tháng gần nhất?</t>
  </si>
  <si>
    <t>Có ít nhất 1 buổi đào tạo chính thức trong 6 tháng qua với nội dung cụ thể</t>
  </si>
  <si>
    <t>Có hướng dẫn thêm nhưng không có chương trình đào tạo bài bản</t>
  </si>
  <si>
    <t>Chưa có đào tạo gì, nhân viên tự mày mò hoặc học từ người cũ</t>
  </si>
  <si>
    <t>Có ít nhất 1 nhân viên có thể điều phối hoạt động hàng ngày thay bạn khi bạn vắng mặt?</t>
  </si>
  <si>
    <t>Có 1–2 người có thể thay thế, đã được đào tạo và thử nghiệm thực tế</t>
  </si>
  <si>
    <t>Có người tiềm năng nhưng chưa được đào tạo bài bản để đảm nhận thực sự</t>
  </si>
  <si>
    <t>Chưa có ai — khi bạn vắng thì mọi thứ dừng lại</t>
  </si>
  <si>
    <t>Bạn có trao đổi 1-1 hoặc họp nhóm định kỳ để nắm tâm tư và tháo gỡ vướng mắc cho nhân viên?</t>
  </si>
  <si>
    <t>Họp hoặc 1-1 ít nhất 2 tuần/lần, có ghi chú và theo dõi hành động sau họp</t>
  </si>
  <si>
    <t>Có họp nhưng không đều đặn, thường chỉ khi có vấn đề phát sinh</t>
  </si>
  <si>
    <t>Không họp định kỳ, chỉ trao đổi khi có sự cố</t>
  </si>
  <si>
    <t>Nhân viên của bạn có thể hoàn thành phần lớn công việc hàng ngày mà không cần hỏi ý kiến bạn?</t>
  </si>
  <si>
    <t>Hơn 70% công việc họ tự xử lý được — bạn chỉ cần quyết định những việc quan trọng</t>
  </si>
  <si>
    <t>Khoảng 40–70% — họ vẫn cần hỏi bạn nhiều việc không cần thiết</t>
  </si>
  <si>
    <t>Dưới 40% — hầu hết việc gì cũng phải hỏi bạn, bạn là 'bottleneck' của mọi thứ</t>
  </si>
  <si>
    <t>Doanh nghiệp có ít nhất 3 giá trị văn hóa rõ ràng được nhân viên biết và thể hiện?</t>
  </si>
  <si>
    <t>Có 3+ giá trị được phổ biến, nhân viên biết và thể hiện trong hành vi hàng ngày</t>
  </si>
  <si>
    <t>Có định nghĩa văn hóa nhưng chủ yếu nằm trên giấy, chưa thấm vào đội ngũ</t>
  </si>
  <si>
    <t>Chưa có giá trị văn hóa được định nghĩa, mỗi người làm theo chuẩn riêng</t>
  </si>
  <si>
    <t xml:space="preserve">   V.   LÃNH ĐẠO &amp; TĂNG TRƯỞNG     (Tiêu chí #41 – #50)</t>
  </si>
  <si>
    <t>Trong một tuần làm việc bình thường, bạn dành bao nhiêu thời gian cho công việc chiến lược (phát triển, cải tiến, mở rộng)?</t>
  </si>
  <si>
    <t>Ít nhất 4 tiếng/tuần cho chiến lược — không bị sự vụ hàng ngày chiếm toàn bộ</t>
  </si>
  <si>
    <t>1–3 tiếng — muốn làm nhưng hay bị sự vụ chen vào</t>
  </si>
  <si>
    <t>Gần như 0 — toàn bộ thời gian bị chiếm bởi sự vụ hàng ngày</t>
  </si>
  <si>
    <t>Doanh nghiệp có kế hoạch kinh doanh với mục tiêu cụ thể cho ít nhất 6 tháng tới?</t>
  </si>
  <si>
    <t>Có kế hoạch bằng văn bản với mục tiêu doanh thu, lợi nhuận và các mốc hành động</t>
  </si>
  <si>
    <t>Có mục tiêu trong đầu nhưng chưa viết ra hoặc chưa chia sẻ với đội ngũ</t>
  </si>
  <si>
    <t>Không có kế hoạch, kinh doanh theo phản xạ tháng nào biết tháng đó</t>
  </si>
  <si>
    <t>Nếu bạn vắng mặt hoàn toàn 1 tuần, doanh nghiệp vận hành như thế nào?</t>
  </si>
  <si>
    <t>Vẫn chạy bình thường — doanh thu không giảm, không có sự cố lớn</t>
  </si>
  <si>
    <t>Vẫn chạy nhưng có một số việc bị trì hoãn hoặc cần xử lý sau khi bạn về</t>
  </si>
  <si>
    <t>Gần như tê liệt hoặc có nguy cơ xảy ra sự cố nghiêm trọng</t>
  </si>
  <si>
    <t>Doanh nghiệp đang tuân thủ đầy đủ các nghĩa vụ pháp lý (đăng ký kinh doanh, thuế, bảo hiểm xã hội)?</t>
  </si>
  <si>
    <t>Đầy đủ giấy phép, kê khai đúng hạn, đóng BHXH đủ cho nhân viên</t>
  </si>
  <si>
    <t>Cơ bản đúng nhưng còn một số khoản chưa hoàn thiện</t>
  </si>
  <si>
    <t>Đang có thiếu sót hoặc vi phạm pháp lý chưa được xử lý</t>
  </si>
  <si>
    <t>Bạn có mentor, cố vấn hoặc cộng đồng doanh nhân để nhận góc nhìn khách quan về doanh nghiệp mình?</t>
  </si>
  <si>
    <t>Có mentor hoặc cộng đồng đang hoạt động, gặp gỡ trao đổi ít nhất mỗi quý</t>
  </si>
  <si>
    <t>Có mối quan hệ với doanh nhân khác nhưng chưa có cố vấn chính thức</t>
  </si>
  <si>
    <t>Hoàn toàn tự quyết mọi thứ, không có nguồn tham khảo bên ngoài</t>
  </si>
  <si>
    <t>Bạn có thói quen học hỏi kiến thức quản trị kinh doanh định kỳ?</t>
  </si>
  <si>
    <t>Học ít nhất 1 nội dung mới/tháng (sách, khóa học, podcast, hội thảo)</t>
  </si>
  <si>
    <t>Học nhưng không đều đặn — khi rảnh hoặc khi có vấn đề cần giải quyết</t>
  </si>
  <si>
    <t>Hiếm khi học, cảm thấy không có thời gian hoặc không cần thiết</t>
  </si>
  <si>
    <t>Dữ liệu khách hàng có được bảo mật và chỉ nhân viên có thẩm quyền mới được truy cập?</t>
  </si>
  <si>
    <t>Có chính sách bảo mật rõ ràng, phân quyền truy cập theo vai trò</t>
  </si>
  <si>
    <t>Có ý thức bảo mật nhưng chưa có chính sách chính thức hay phân quyền cụ thể</t>
  </si>
  <si>
    <t>Dữ liệu khách hàng có thể được truy cập tự do bởi bất kỳ nhân viên nào</t>
  </si>
  <si>
    <t>Bạn theo dõi các chỉ số tài chính chiến lược (biên lợi nhuận, tăng trưởng doanh thu, ROI marketing) hàng tháng?</t>
  </si>
  <si>
    <t>Theo dõi ≥ 3 chỉ số chiến lược hàng tháng, có phân tích xu hướng</t>
  </si>
  <si>
    <t>Theo dõi doanh thu cơ bản nhưng chưa đi sâu vào các chỉ số chiến lược</t>
  </si>
  <si>
    <t>Chỉ nhìn vào tiền trong tài khoản, chưa phân tích chỉ số kinh doanh</t>
  </si>
  <si>
    <t>Nếu có nhà đầu tư hỏi mua lại hoặc hợp tác, doanh nghiệp có sổ sách minh bạch để trình bày?</t>
  </si>
  <si>
    <t>Có thể cung cấp báo cáo tài chính 2 năm gần nhất trong vòng 48 giờ</t>
  </si>
  <si>
    <t>Có một phần sổ sách nhưng chưa đầy đủ hoặc chưa đủ minh bạch</t>
  </si>
  <si>
    <t>Chưa có hồ sơ tài chính bài bản, không thể trình bày cho bên ngoài</t>
  </si>
  <si>
    <t>Có mô hình tăng trưởng rõ ràng (mở rộng, online scale, đa dạng hóa…) và đang triển khai</t>
  </si>
  <si>
    <t>Có suy nghĩ về tăng trưởng nhưng chưa có kế hoạch cụ thể hay bước đi đầu tiên</t>
  </si>
  <si>
    <t>Chưa nghĩ đến tăng trưởng, đang tập trung sống sót qua từng tháng</t>
  </si>
  <si>
    <t>TỔNG ĐIỂM  (tối đa 100 điểm  ·  mỗi ✅=2  ·  mỗi 🔄=1  ·  mỗi ❌=0)</t>
  </si>
  <si>
    <t>📈   KẾT QUẢ CHẨN ĐOÁN  ·  BẢN X-QUANG 50 TIÊU CHÍ  ·  YUP Education</t>
  </si>
  <si>
    <t>Tất cả số liệu tính tự động từ sheet 'Bảng Chẩn Đoán' — Không cần nhập thêm gì!</t>
  </si>
  <si>
    <t>KẾT QUẢ TỔNG QUAN</t>
  </si>
  <si>
    <t>Tổng điểm đạt được</t>
  </si>
  <si>
    <t>/ 100 điểm</t>
  </si>
  <si>
    <t>Tỷ lệ sức khỏe tổng thể</t>
  </si>
  <si>
    <t>% (mục tiêu: ≥ 60%)</t>
  </si>
  <si>
    <t>Số tiêu chí ✅ Có hệ thống</t>
  </si>
  <si>
    <t>/ 50 tiêu chí</t>
  </si>
  <si>
    <t>Số tiêu chí 🔄 Đang xây dựng</t>
  </si>
  <si>
    <t>tiêu chí cần hoàn thiện</t>
  </si>
  <si>
    <t>Số tiêu chí ❌ Chưa có</t>
  </si>
  <si>
    <t>tiêu chí cần bắt đầu ngay</t>
  </si>
  <si>
    <t>ĐIỂM THEO 5 TRỤ CỘT  (tối đa 20 điểm mỗi trụ cột)</t>
  </si>
  <si>
    <t>Trụ cột</t>
  </si>
  <si>
    <t>Điểm đạt</t>
  </si>
  <si>
    <t>/ 20</t>
  </si>
  <si>
    <t>Tỷ lệ %</t>
  </si>
  <si>
    <t>Chẩn đoán &amp; Hành động</t>
  </si>
  <si>
    <t>CHẨN ĐOÁN TỔNG THỂ — ĐỌC KẾT QUẢ CỦA BẠN</t>
  </si>
  <si>
    <t>0–39 điểm  (&lt; 40%)</t>
  </si>
  <si>
    <t>🔴 KHẨN CẤP</t>
  </si>
  <si>
    <t>Nhiều lỗ hổng nguy hiểm đang tồn tại. Dừng mở rộng, tập trung vá lỗ hổng trước tiên.</t>
  </si>
  <si>
    <t>40–59 điểm  (40–59%)</t>
  </si>
  <si>
    <t>🟡 CẦN CẢI THIỆN</t>
  </si>
  <si>
    <t>Có nền tảng nhưng nhiều điểm nghẽn. Chọn 2–3 trụ cột yếu nhất để cải thiện trong 90 ngày.</t>
  </si>
  <si>
    <t>60–74 điểm  (60–74%)</t>
  </si>
  <si>
    <t>🔵 ĐANG PHÁT TRIỂN</t>
  </si>
  <si>
    <t>Vận hành ổn nhưng chưa tối ưu. Bắt đầu hệ thống hóa và phân quyền để thoát bẫy 'khổ chủ'.</t>
  </si>
  <si>
    <t>75–89 điểm  (75–89%)</t>
  </si>
  <si>
    <t>🟢 SỨC KHỎE TỐT</t>
  </si>
  <si>
    <t>Nền tảng vững chắc. Sẵn sàng tăng trưởng có hệ thống — tập trung vào chiến lược mở rộng.</t>
  </si>
  <si>
    <t>90–100 điểm  (90–100%)</t>
  </si>
  <si>
    <t>✅ DOANH NGHIỆP BỀN VỮNG</t>
  </si>
  <si>
    <t>Đẳng cấp vận hành cao. Sẵn sàng mở rộng quy mô, nhượng quyền hoặc thu hút nhà đầu tư.</t>
  </si>
  <si>
    <t>LỘ TRÌNH HÀNH ĐỘNG — Điền sau khi xem kết quả (mang đến Buổi 2)</t>
  </si>
  <si>
    <t>Trụ cột yếu nhất</t>
  </si>
  <si>
    <t>Tiêu chí ❌ nổi bật</t>
  </si>
  <si>
    <t>Hậu quả đang xảy ra</t>
  </si>
  <si>
    <t>Hành động cụ thể</t>
  </si>
  <si>
    <t>Deadline</t>
  </si>
  <si>
    <t>💡  Mang bảng chẩn đoán đến Buổi 2 — YUP sẽ hỗ trợ thiết kế Lộ trình hành động 90 ngày cho riêng bạn.</t>
  </si>
  <si>
    <t>Bạn đã xác định rõ mô hình tăng trưởng cho 2–3 năm tới (mở thêm chi nhánh, franchise, online scale, đa dạng hóa sản phẩm…) và đang thực hiện ít nhất 1 bước đi cụ thể hướng đến đó?</t>
  </si>
  <si>
    <t>© YUP Education  ·  Tài liệu độc quyền – Lưu hành nội bộ  ·  Giải Mã 2026</t>
  </si>
  <si>
    <t>Bạn có ít nhất 5 chỉ số vận hành (doanh thu ngày, số đơn, tỷ lệ hoàn hàng/ làm lại dịch vụ…) được theo dõi định kỳ hàng tuần?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</si>
</sst>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rial"/>
      <family val="2"/>
      <scheme val="minor"/>
    </font>
    <font>
      <b/>
      <sz val="12"/>
      <color rgb="FFFFFFFF"/>
      <name val="Arial"/>
    </font>
    <font>
      <b/>
      <sz val="17"/>
      <color rgb="FF1A2F5A"/>
      <name val="Arial"/>
    </font>
    <font>
      <b/>
      <sz val="10"/>
      <color rgb="FFFFFFFF"/>
      <name val="Arial"/>
    </font>
    <font>
      <b/>
      <sz val="9"/>
      <color rgb="FF1A1A1A"/>
      <name val="Arial"/>
    </font>
    <font>
      <sz val="9"/>
      <color rgb="FF1A1A1A"/>
      <name val="Arial"/>
    </font>
    <font>
      <b/>
      <sz val="10"/>
      <color rgb="FF1B5E20"/>
      <name val="Arial"/>
    </font>
    <font>
      <b/>
      <sz val="12"/>
      <color rgb="FF1B5E20"/>
      <name val="Arial"/>
    </font>
    <font>
      <b/>
      <sz val="10"/>
      <color rgb="FFE65100"/>
      <name val="Arial"/>
    </font>
    <font>
      <b/>
      <sz val="12"/>
      <color rgb="FFE65100"/>
      <name val="Arial"/>
    </font>
    <font>
      <b/>
      <sz val="10"/>
      <color rgb="FFB71C1C"/>
      <name val="Arial"/>
    </font>
    <font>
      <b/>
      <sz val="12"/>
      <color rgb="FFB71C1C"/>
      <name val="Arial"/>
    </font>
    <font>
      <b/>
      <sz val="9"/>
      <color rgb="FFFFFFFF"/>
      <name val="Arial"/>
    </font>
    <font>
      <sz val="8"/>
      <color rgb="FF888888"/>
      <name val="Arial"/>
    </font>
    <font>
      <b/>
      <sz val="9"/>
      <color rgb="FF1A2F5A"/>
      <name val="Arial"/>
    </font>
    <font>
      <b/>
      <sz val="10"/>
      <color rgb="FF1A1A1A"/>
      <name val="Arial"/>
    </font>
    <font>
      <sz val="8"/>
      <color rgb="FF1B5E20"/>
      <name val="Arial"/>
    </font>
    <font>
      <sz val="8"/>
      <color rgb="FFE65100"/>
      <name val="Arial"/>
    </font>
    <font>
      <sz val="8"/>
      <color rgb="FFB71C1C"/>
      <name val="Arial"/>
    </font>
    <font>
      <b/>
      <sz val="13"/>
      <color rgb="FF1A2F5A"/>
      <name val="Arial"/>
    </font>
    <font>
      <b/>
      <sz val="11"/>
      <color rgb="FF1A2F5A"/>
      <name val="Arial"/>
    </font>
    <font>
      <i/>
      <sz val="9"/>
      <color rgb="FF1A1A1A"/>
      <name val="Arial"/>
    </font>
    <font>
      <b/>
      <sz val="13"/>
      <color rgb="FF1B5E20"/>
      <name val="Arial"/>
    </font>
    <font>
      <b/>
      <sz val="13"/>
      <color rgb="FFE65100"/>
      <name val="Arial"/>
    </font>
    <font>
      <b/>
      <sz val="13"/>
      <color rgb="FFB71C1C"/>
      <name val="Arial"/>
    </font>
    <font>
      <b/>
      <sz val="13"/>
      <color rgb="FF1565C0"/>
      <name val="Arial"/>
    </font>
    <font>
      <b/>
      <sz val="13"/>
      <color rgb="FF2E7D32"/>
      <name val="Arial"/>
    </font>
    <font>
      <b/>
      <sz val="13"/>
      <color rgb="FF6A1B9A"/>
      <name val="Arial"/>
    </font>
    <font>
      <b/>
      <sz val="13"/>
      <color rgb="FFBF360C"/>
      <name val="Arial"/>
    </font>
    <font>
      <b/>
      <sz val="13"/>
      <color rgb="FF00695C"/>
      <name val="Arial"/>
    </font>
    <font>
      <b/>
      <sz val="10"/>
      <color rgb="FF1565C0"/>
      <name val="Arial"/>
    </font>
  </fonts>
  <fills count="28">
    <fill>
      <patternFill patternType="none"/>
    </fill>
    <fill>
      <patternFill patternType="gray125"/>
    </fill>
    <fill>
      <patternFill patternType="solid">
        <fgColor rgb="FF1A2F5A"/>
      </patternFill>
    </fill>
    <fill>
      <patternFill patternType="solid">
        <fgColor rgb="FFC9A227"/>
      </patternFill>
    </fill>
    <fill>
      <patternFill patternType="solid">
        <fgColor rgb="FFF0F2F5"/>
      </patternFill>
    </fill>
    <fill>
      <patternFill patternType="solid">
        <fgColor rgb="FF1565C0"/>
      </patternFill>
    </fill>
    <fill>
      <patternFill patternType="solid">
        <fgColor rgb="FFDDEEFF"/>
      </patternFill>
    </fill>
    <fill>
      <patternFill patternType="solid">
        <fgColor rgb="FF2E7D32"/>
      </patternFill>
    </fill>
    <fill>
      <patternFill patternType="solid">
        <fgColor rgb="FFE8F5E9"/>
      </patternFill>
    </fill>
    <fill>
      <patternFill patternType="solid">
        <fgColor rgb="FF6A1B9A"/>
      </patternFill>
    </fill>
    <fill>
      <patternFill patternType="solid">
        <fgColor rgb="FFF3E5F5"/>
      </patternFill>
    </fill>
    <fill>
      <patternFill patternType="solid">
        <fgColor rgb="FFBF360C"/>
      </patternFill>
    </fill>
    <fill>
      <patternFill patternType="solid">
        <fgColor rgb="FFFBE9E7"/>
      </patternFill>
    </fill>
    <fill>
      <patternFill patternType="solid">
        <fgColor rgb="FF00695C"/>
      </patternFill>
    </fill>
    <fill>
      <patternFill patternType="solid">
        <fgColor rgb="FFE0F2F1"/>
      </patternFill>
    </fill>
    <fill>
      <patternFill patternType="solid">
        <fgColor rgb="FFFFF9C4"/>
      </patternFill>
    </fill>
    <fill>
      <patternFill patternType="solid">
        <fgColor rgb="FFFFCDD2"/>
      </patternFill>
    </fill>
    <fill>
      <patternFill patternType="solid">
        <fgColor rgb="FFA22744"/>
      </patternFill>
    </fill>
    <fill>
      <patternFill patternType="solid">
        <fgColor rgb="FF2C4A8A"/>
      </patternFill>
    </fill>
    <fill>
      <patternFill patternType="solid">
        <fgColor rgb="FF1B5E20"/>
      </patternFill>
    </fill>
    <fill>
      <patternFill patternType="solid">
        <fgColor rgb="FFB8860B"/>
      </patternFill>
    </fill>
    <fill>
      <patternFill patternType="solid">
        <fgColor rgb="FFB71C1C"/>
      </patternFill>
    </fill>
    <fill>
      <patternFill patternType="solid">
        <fgColor rgb="FFFAFAFA"/>
      </patternFill>
    </fill>
    <fill>
      <patternFill patternType="solid">
        <fgColor rgb="FFFFFFFF"/>
      </patternFill>
    </fill>
    <fill>
      <patternFill patternType="solid">
        <fgColor rgb="FF3A5A9A"/>
      </patternFill>
    </fill>
    <fill>
      <patternFill patternType="solid">
        <fgColor rgb="FFFFFFF0"/>
      </patternFill>
    </fill>
    <fill>
      <patternFill patternType="solid">
        <fgColor rgb="FFA5D6A7"/>
      </patternFill>
    </fill>
    <fill>
      <patternFill patternType="solid">
        <fgColor rgb="FFE3F2FD"/>
      </patternFill>
    </fill>
  </fills>
  <borders count="3">
    <border>
      <left/>
      <right/>
      <top/>
      <bottom/>
      <diagonal/>
    </border>
    <border>
      <left style="medium">
        <color rgb="FF999999"/>
      </left>
      <right style="medium">
        <color rgb="FF999999"/>
      </right>
      <top style="medium">
        <color rgb="FF999999"/>
      </top>
      <bottom style="medium">
        <color rgb="FF99999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0">
    <xf numFmtId="0" fontId="0" fillId="0" borderId="0" xfId="0"/>
    <xf numFmtId="0" fontId="4"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5" fillId="8" borderId="2" xfId="0" applyFont="1" applyFill="1" applyBorder="1" applyAlignment="1">
      <alignment horizontal="left" vertical="center" wrapText="1"/>
    </xf>
    <xf numFmtId="0" fontId="3" fillId="9"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8" fillId="15"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1" fillId="16" borderId="2" xfId="0" applyFont="1" applyFill="1" applyBorder="1" applyAlignment="1">
      <alignment horizontal="center" vertical="center" wrapText="1"/>
    </xf>
    <xf numFmtId="0" fontId="5" fillId="16"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2" fillId="7" borderId="2" xfId="0" applyFont="1" applyFill="1" applyBorder="1" applyAlignment="1">
      <alignment horizontal="left" vertical="center" wrapText="1"/>
    </xf>
    <xf numFmtId="0" fontId="12" fillId="9" borderId="2" xfId="0" applyFont="1" applyFill="1" applyBorder="1" applyAlignment="1">
      <alignment horizontal="left" vertical="center" wrapText="1"/>
    </xf>
    <xf numFmtId="0" fontId="12" fillId="11" borderId="2" xfId="0" applyFont="1" applyFill="1" applyBorder="1" applyAlignment="1">
      <alignment horizontal="left" vertical="center" wrapText="1"/>
    </xf>
    <xf numFmtId="0" fontId="12" fillId="13" borderId="2" xfId="0" applyFont="1" applyFill="1" applyBorder="1" applyAlignment="1">
      <alignment horizontal="left" vertical="center" wrapText="1"/>
    </xf>
    <xf numFmtId="0" fontId="12" fillId="18" borderId="1"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12" fillId="20"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0" fontId="0" fillId="5" borderId="2" xfId="0" applyFill="1" applyBorder="1"/>
    <xf numFmtId="0" fontId="4" fillId="22" borderId="2" xfId="0" applyFont="1" applyFill="1" applyBorder="1" applyAlignment="1">
      <alignment horizontal="left" vertical="center" wrapText="1"/>
    </xf>
    <xf numFmtId="0" fontId="15" fillId="15" borderId="2" xfId="0" applyFont="1" applyFill="1" applyBorder="1" applyAlignment="1">
      <alignment horizontal="center" vertical="center" wrapText="1"/>
    </xf>
    <xf numFmtId="0" fontId="16" fillId="8" borderId="2" xfId="0" applyFont="1" applyFill="1" applyBorder="1" applyAlignment="1">
      <alignment horizontal="left" vertical="center" wrapText="1"/>
    </xf>
    <xf numFmtId="0" fontId="17" fillId="15" borderId="2" xfId="0" applyFont="1" applyFill="1" applyBorder="1" applyAlignment="1">
      <alignment horizontal="left" vertical="center" wrapText="1"/>
    </xf>
    <xf numFmtId="0" fontId="18" fillId="16" borderId="2" xfId="0" applyFont="1" applyFill="1" applyBorder="1" applyAlignment="1">
      <alignment horizontal="left" vertical="center" wrapText="1"/>
    </xf>
    <xf numFmtId="0" fontId="5" fillId="23"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0" fillId="7" borderId="2" xfId="0" applyFill="1" applyBorder="1"/>
    <xf numFmtId="0" fontId="4" fillId="8" borderId="2" xfId="0" applyFont="1" applyFill="1" applyBorder="1" applyAlignment="1">
      <alignment horizontal="left" vertical="center" wrapText="1"/>
    </xf>
    <xf numFmtId="0" fontId="0" fillId="9" borderId="2" xfId="0" applyFill="1" applyBorder="1"/>
    <xf numFmtId="0" fontId="4" fillId="10" borderId="2" xfId="0" applyFont="1" applyFill="1" applyBorder="1" applyAlignment="1">
      <alignment horizontal="left" vertical="center" wrapText="1"/>
    </xf>
    <xf numFmtId="0" fontId="0" fillId="11" borderId="2" xfId="0" applyFill="1" applyBorder="1"/>
    <xf numFmtId="0" fontId="4" fillId="12" borderId="2" xfId="0" applyFont="1" applyFill="1" applyBorder="1" applyAlignment="1">
      <alignment horizontal="left" vertical="center" wrapText="1"/>
    </xf>
    <xf numFmtId="0" fontId="0" fillId="13" borderId="2" xfId="0" applyFill="1" applyBorder="1"/>
    <xf numFmtId="0" fontId="4" fillId="14" borderId="2" xfId="0" applyFont="1" applyFill="1" applyBorder="1" applyAlignment="1">
      <alignment horizontal="left" vertical="center" wrapText="1"/>
    </xf>
    <xf numFmtId="0" fontId="19" fillId="3" borderId="1" xfId="0" applyFont="1" applyFill="1" applyBorder="1" applyAlignment="1">
      <alignment horizontal="center" vertical="center" wrapText="1"/>
    </xf>
    <xf numFmtId="0" fontId="0" fillId="2" borderId="2" xfId="0" applyFill="1" applyBorder="1"/>
    <xf numFmtId="9" fontId="19" fillId="3" borderId="1" xfId="0" applyNumberFormat="1" applyFont="1" applyFill="1" applyBorder="1" applyAlignment="1">
      <alignment horizontal="center" vertical="center" wrapText="1"/>
    </xf>
    <xf numFmtId="0" fontId="22" fillId="8" borderId="1" xfId="0" applyFont="1" applyFill="1" applyBorder="1" applyAlignment="1">
      <alignment horizontal="center" vertical="center" wrapText="1"/>
    </xf>
    <xf numFmtId="0" fontId="23" fillId="15" borderId="1" xfId="0" applyFont="1" applyFill="1" applyBorder="1" applyAlignment="1">
      <alignment horizontal="center" vertical="center" wrapText="1"/>
    </xf>
    <xf numFmtId="0" fontId="24" fillId="16" borderId="1" xfId="0" applyFont="1" applyFill="1" applyBorder="1" applyAlignment="1">
      <alignment horizontal="center" vertical="center" wrapText="1"/>
    </xf>
    <xf numFmtId="0" fontId="12" fillId="24" borderId="1" xfId="0" applyFont="1" applyFill="1" applyBorder="1" applyAlignment="1">
      <alignment horizontal="center" vertical="center" wrapText="1"/>
    </xf>
    <xf numFmtId="0" fontId="25" fillId="6" borderId="1" xfId="0" applyFont="1" applyFill="1" applyBorder="1" applyAlignment="1">
      <alignment horizontal="center" vertical="center" wrapText="1"/>
    </xf>
    <xf numFmtId="9" fontId="4" fillId="4" borderId="2" xfId="0" applyNumberFormat="1" applyFont="1" applyFill="1" applyBorder="1" applyAlignment="1">
      <alignment horizontal="center" vertical="center" wrapText="1"/>
    </xf>
    <xf numFmtId="0" fontId="4" fillId="25" borderId="2"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28" fillId="12" borderId="1" xfId="0" applyFont="1" applyFill="1" applyBorder="1" applyAlignment="1">
      <alignment horizontal="center" vertical="center" wrapText="1"/>
    </xf>
    <xf numFmtId="0" fontId="29" fillId="14" borderId="1"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5" fillId="16" borderId="2" xfId="0" applyFont="1" applyFill="1" applyBorder="1" applyAlignment="1">
      <alignment horizontal="left" vertical="center" wrapText="1"/>
    </xf>
    <xf numFmtId="0" fontId="5" fillId="12" borderId="2" xfId="0" applyFont="1" applyFill="1" applyBorder="1" applyAlignment="1">
      <alignment horizontal="left" vertical="center" wrapText="1"/>
    </xf>
    <xf numFmtId="0" fontId="0" fillId="0" borderId="0" xfId="0"/>
    <xf numFmtId="0" fontId="3" fillId="2" borderId="1" xfId="0" applyFont="1" applyFill="1" applyBorder="1" applyAlignment="1">
      <alignment horizontal="center" vertical="center" wrapText="1"/>
    </xf>
    <xf numFmtId="0" fontId="5" fillId="8" borderId="2" xfId="0" applyFont="1" applyFill="1" applyBorder="1" applyAlignment="1">
      <alignment horizontal="left" vertical="center" wrapText="1"/>
    </xf>
    <xf numFmtId="0" fontId="5" fillId="14"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5" fillId="10" borderId="2" xfId="0" applyFont="1" applyFill="1" applyBorder="1" applyAlignment="1">
      <alignment horizontal="left" vertical="center" wrapText="1"/>
    </xf>
    <xf numFmtId="0" fontId="13" fillId="4" borderId="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5" fillId="15" borderId="2"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14" fillId="17" borderId="2" xfId="0" applyFont="1" applyFill="1" applyBorder="1" applyAlignment="1">
      <alignment horizontal="center" vertical="center" wrapText="1"/>
    </xf>
    <xf numFmtId="0" fontId="3" fillId="11" borderId="1" xfId="0" applyFont="1" applyFill="1" applyBorder="1" applyAlignment="1">
      <alignment horizontal="left" vertical="center" wrapText="1"/>
    </xf>
    <xf numFmtId="9" fontId="20" fillId="3" borderId="1" xfId="0" applyNumberFormat="1" applyFont="1" applyFill="1" applyBorder="1" applyAlignment="1">
      <alignment horizontal="center" vertical="center" wrapText="1"/>
    </xf>
    <xf numFmtId="0" fontId="3" fillId="5"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26" borderId="2"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6" fillId="26"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15" fillId="4" borderId="2" xfId="0" applyFont="1" applyFill="1" applyBorder="1" applyAlignment="1">
      <alignment horizontal="left" vertical="center" wrapText="1"/>
    </xf>
    <xf numFmtId="0" fontId="10" fillId="16" borderId="1" xfId="0" applyFont="1" applyFill="1" applyBorder="1" applyAlignment="1">
      <alignment horizontal="center" vertical="center" wrapText="1"/>
    </xf>
    <xf numFmtId="0" fontId="30" fillId="27" borderId="2" xfId="0" applyFont="1" applyFill="1" applyBorder="1" applyAlignment="1">
      <alignment horizontal="center" vertical="center" wrapText="1"/>
    </xf>
    <xf numFmtId="0" fontId="30" fillId="6" borderId="1" xfId="0" applyFont="1" applyFill="1" applyBorder="1" applyAlignment="1">
      <alignment horizontal="center" vertical="center" wrapText="1"/>
    </xf>
    <xf numFmtId="0" fontId="4" fillId="15" borderId="2" xfId="0" applyFont="1" applyFill="1" applyBorder="1" applyAlignment="1">
      <alignment horizontal="center" vertical="center" wrapText="1"/>
    </xf>
    <xf numFmtId="0" fontId="8" fillId="15" borderId="1"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5" fillId="26"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6"/>
  <sheetViews>
    <sheetView showGridLines="0" topLeftCell="A12" workbookViewId="0">
      <selection activeCell="C22" sqref="C22:D22"/>
    </sheetView>
  </sheetViews>
  <sheetFormatPr defaultRowHeight="14.25" x14ac:dyDescent="0.2"/>
  <cols>
    <col min="1" max="1" width="3" customWidth="1"/>
    <col min="2" max="2" width="30" customWidth="1"/>
    <col min="3" max="4" width="24" customWidth="1"/>
    <col min="5" max="5" width="3" customWidth="1"/>
  </cols>
  <sheetData>
    <row r="1" spans="2:4" ht="9.9499999999999993" customHeight="1" x14ac:dyDescent="0.2"/>
    <row r="2" spans="2:4" ht="39.950000000000003" customHeight="1" x14ac:dyDescent="0.2">
      <c r="B2" s="67" t="s">
        <v>0</v>
      </c>
      <c r="C2" s="57"/>
      <c r="D2" s="57"/>
    </row>
    <row r="3" spans="2:4" ht="51.95" customHeight="1" x14ac:dyDescent="0.2">
      <c r="B3" s="65" t="s">
        <v>1</v>
      </c>
      <c r="C3" s="57"/>
      <c r="D3" s="57"/>
    </row>
    <row r="4" spans="2:4" ht="26.1" customHeight="1" x14ac:dyDescent="0.2">
      <c r="B4" s="58" t="s">
        <v>2</v>
      </c>
      <c r="C4" s="57"/>
      <c r="D4" s="57"/>
    </row>
    <row r="5" spans="2:4" ht="9.9499999999999993" customHeight="1" x14ac:dyDescent="0.2"/>
    <row r="6" spans="2:4" ht="21.95" customHeight="1" x14ac:dyDescent="0.2">
      <c r="B6" s="62" t="s">
        <v>3</v>
      </c>
      <c r="C6" s="57"/>
      <c r="D6" s="57"/>
    </row>
    <row r="8" spans="2:4" ht="21.95" customHeight="1" x14ac:dyDescent="0.2">
      <c r="B8" s="58" t="s">
        <v>4</v>
      </c>
      <c r="C8" s="57"/>
      <c r="D8" s="57"/>
    </row>
    <row r="9" spans="2:4" ht="51.95" customHeight="1" x14ac:dyDescent="0.2">
      <c r="B9" s="2" t="s">
        <v>5</v>
      </c>
      <c r="C9" s="61" t="s">
        <v>6</v>
      </c>
      <c r="D9" s="57"/>
    </row>
    <row r="10" spans="2:4" ht="104.25" customHeight="1" x14ac:dyDescent="0.2">
      <c r="B10" s="3" t="s">
        <v>7</v>
      </c>
      <c r="C10" s="59" t="s">
        <v>8</v>
      </c>
      <c r="D10" s="57"/>
    </row>
    <row r="11" spans="2:4" ht="51.95" customHeight="1" x14ac:dyDescent="0.2">
      <c r="B11" s="5" t="s">
        <v>9</v>
      </c>
      <c r="C11" s="63" t="s">
        <v>10</v>
      </c>
      <c r="D11" s="57"/>
    </row>
    <row r="12" spans="2:4" ht="51.95" customHeight="1" x14ac:dyDescent="0.2">
      <c r="B12" s="6" t="s">
        <v>11</v>
      </c>
      <c r="C12" s="56" t="s">
        <v>12</v>
      </c>
      <c r="D12" s="57"/>
    </row>
    <row r="13" spans="2:4" ht="51.95" customHeight="1" x14ac:dyDescent="0.2">
      <c r="B13" s="7" t="s">
        <v>13</v>
      </c>
      <c r="C13" s="60" t="s">
        <v>14</v>
      </c>
      <c r="D13" s="57"/>
    </row>
    <row r="14" spans="2:4" ht="9.9499999999999993" customHeight="1" x14ac:dyDescent="0.2"/>
    <row r="15" spans="2:4" ht="21.95" customHeight="1" x14ac:dyDescent="0.2">
      <c r="B15" s="58" t="s">
        <v>15</v>
      </c>
      <c r="C15" s="57"/>
      <c r="D15" s="57"/>
    </row>
    <row r="16" spans="2:4" ht="36" customHeight="1" x14ac:dyDescent="0.2">
      <c r="B16" s="8" t="s">
        <v>16</v>
      </c>
      <c r="C16" s="9" t="s">
        <v>17</v>
      </c>
      <c r="D16" s="59" t="s">
        <v>18</v>
      </c>
    </row>
    <row r="17" spans="2:4" ht="36" customHeight="1" x14ac:dyDescent="0.2">
      <c r="B17" s="10" t="s">
        <v>19</v>
      </c>
      <c r="C17" s="11" t="s">
        <v>20</v>
      </c>
      <c r="D17" s="66" t="s">
        <v>21</v>
      </c>
    </row>
    <row r="18" spans="2:4" ht="36" customHeight="1" x14ac:dyDescent="0.2">
      <c r="B18" s="12" t="s">
        <v>22</v>
      </c>
      <c r="C18" s="13" t="s">
        <v>23</v>
      </c>
      <c r="D18" s="55" t="s">
        <v>24</v>
      </c>
    </row>
    <row r="19" spans="2:4" ht="9.9499999999999993" customHeight="1" x14ac:dyDescent="0.2"/>
    <row r="20" spans="2:4" ht="21.95" customHeight="1" x14ac:dyDescent="0.2">
      <c r="B20" s="58" t="s">
        <v>25</v>
      </c>
      <c r="C20" s="57"/>
      <c r="D20" s="57"/>
    </row>
    <row r="21" spans="2:4" ht="33.950000000000003" customHeight="1" x14ac:dyDescent="0.2">
      <c r="B21" s="15" t="s">
        <v>26</v>
      </c>
      <c r="C21" s="61" t="s">
        <v>27</v>
      </c>
      <c r="D21" s="57"/>
    </row>
    <row r="22" spans="2:4" ht="33.950000000000003" customHeight="1" x14ac:dyDescent="0.2">
      <c r="B22" s="16" t="s">
        <v>28</v>
      </c>
      <c r="C22" s="59" t="s">
        <v>29</v>
      </c>
      <c r="D22" s="57"/>
    </row>
    <row r="23" spans="2:4" ht="33.950000000000003" customHeight="1" x14ac:dyDescent="0.2">
      <c r="B23" s="17" t="s">
        <v>30</v>
      </c>
      <c r="C23" s="63" t="s">
        <v>31</v>
      </c>
      <c r="D23" s="57"/>
    </row>
    <row r="24" spans="2:4" ht="33.950000000000003" customHeight="1" x14ac:dyDescent="0.2">
      <c r="B24" s="18" t="s">
        <v>32</v>
      </c>
      <c r="C24" s="56" t="s">
        <v>33</v>
      </c>
      <c r="D24" s="57"/>
    </row>
    <row r="25" spans="2:4" ht="33.950000000000003" customHeight="1" x14ac:dyDescent="0.2">
      <c r="B25" s="19" t="s">
        <v>34</v>
      </c>
      <c r="C25" s="60" t="s">
        <v>35</v>
      </c>
      <c r="D25" s="57"/>
    </row>
    <row r="26" spans="2:4" ht="9.9499999999999993" customHeight="1" x14ac:dyDescent="0.2">
      <c r="B26" s="64" t="s">
        <v>293</v>
      </c>
      <c r="C26" s="57"/>
      <c r="D26" s="57"/>
    </row>
  </sheetData>
  <mergeCells count="21">
    <mergeCell ref="B2:D2"/>
    <mergeCell ref="B4:D4"/>
    <mergeCell ref="B26:D26"/>
    <mergeCell ref="C23:D23"/>
    <mergeCell ref="B3:D3"/>
    <mergeCell ref="D17"/>
    <mergeCell ref="D16"/>
    <mergeCell ref="C13:D13"/>
    <mergeCell ref="B6:D6"/>
    <mergeCell ref="B20:D20"/>
    <mergeCell ref="C12:D12"/>
    <mergeCell ref="C21:D21"/>
    <mergeCell ref="C11:D11"/>
    <mergeCell ref="D18"/>
    <mergeCell ref="C24:D24"/>
    <mergeCell ref="B8:D8"/>
    <mergeCell ref="C10:D10"/>
    <mergeCell ref="C25:D25"/>
    <mergeCell ref="C22:D22"/>
    <mergeCell ref="C9:D9"/>
    <mergeCell ref="B15:D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showGridLines="0" workbookViewId="0">
      <pane xSplit="2" ySplit="3" topLeftCell="C50" activePane="bottomRight" state="frozen"/>
      <selection pane="topRight"/>
      <selection pane="bottomLeft"/>
      <selection pane="bottomRight" activeCell="C51" sqref="C51"/>
    </sheetView>
  </sheetViews>
  <sheetFormatPr defaultRowHeight="14.25" x14ac:dyDescent="0.2"/>
  <cols>
    <col min="1" max="1" width="3" customWidth="1"/>
    <col min="2" max="2" width="4" customWidth="1"/>
    <col min="3" max="3" width="44" customWidth="1"/>
    <col min="4" max="4" width="20" customWidth="1"/>
    <col min="5" max="7" width="28" customWidth="1"/>
    <col min="8" max="8" width="24" customWidth="1"/>
    <col min="9" max="9" width="3" customWidth="1"/>
  </cols>
  <sheetData>
    <row r="1" spans="1:9" ht="33.950000000000003" customHeight="1" x14ac:dyDescent="0.2">
      <c r="A1" s="67" t="s">
        <v>37</v>
      </c>
      <c r="B1" s="57"/>
      <c r="C1" s="57"/>
      <c r="D1" s="57"/>
      <c r="E1" s="57"/>
      <c r="F1" s="57"/>
      <c r="G1" s="57"/>
      <c r="H1" s="57"/>
      <c r="I1" s="57"/>
    </row>
    <row r="2" spans="1:9" ht="20.100000000000001" customHeight="1" x14ac:dyDescent="0.2">
      <c r="A2" s="69" t="s">
        <v>38</v>
      </c>
      <c r="B2" s="57"/>
      <c r="C2" s="57"/>
      <c r="D2" s="57"/>
      <c r="E2" s="57"/>
      <c r="F2" s="57"/>
      <c r="G2" s="57"/>
      <c r="H2" s="57"/>
      <c r="I2" s="57"/>
    </row>
    <row r="3" spans="1:9" ht="30" customHeight="1" x14ac:dyDescent="0.2">
      <c r="A3" s="20"/>
      <c r="B3" s="20" t="s">
        <v>39</v>
      </c>
      <c r="C3" s="20" t="s">
        <v>40</v>
      </c>
      <c r="D3" s="20" t="s">
        <v>41</v>
      </c>
      <c r="E3" s="21" t="s">
        <v>42</v>
      </c>
      <c r="F3" s="22" t="s">
        <v>43</v>
      </c>
      <c r="G3" s="23" t="s">
        <v>44</v>
      </c>
      <c r="H3" s="20" t="s">
        <v>45</v>
      </c>
      <c r="I3" s="20"/>
    </row>
    <row r="4" spans="1:9" ht="24" customHeight="1" x14ac:dyDescent="0.2">
      <c r="A4" s="72" t="s">
        <v>46</v>
      </c>
      <c r="B4" s="57"/>
      <c r="C4" s="57"/>
      <c r="D4" s="57"/>
      <c r="E4" s="57"/>
      <c r="F4" s="57"/>
      <c r="G4" s="57"/>
      <c r="H4" s="57"/>
      <c r="I4" s="57"/>
    </row>
    <row r="5" spans="1:9" ht="62.1" customHeight="1" x14ac:dyDescent="0.2">
      <c r="A5" s="24"/>
      <c r="B5" s="2">
        <v>1</v>
      </c>
      <c r="C5" s="25" t="s">
        <v>47</v>
      </c>
      <c r="D5" s="26" t="s">
        <v>19</v>
      </c>
      <c r="E5" s="27" t="s">
        <v>48</v>
      </c>
      <c r="F5" s="28" t="s">
        <v>49</v>
      </c>
      <c r="G5" s="29" t="s">
        <v>50</v>
      </c>
      <c r="H5" s="30"/>
      <c r="I5" s="24"/>
    </row>
    <row r="6" spans="1:9" ht="62.1" customHeight="1" x14ac:dyDescent="0.2">
      <c r="A6" s="24"/>
      <c r="B6" s="2">
        <v>2</v>
      </c>
      <c r="C6" s="31" t="s">
        <v>51</v>
      </c>
      <c r="D6" s="26" t="s">
        <v>19</v>
      </c>
      <c r="E6" s="27" t="s">
        <v>52</v>
      </c>
      <c r="F6" s="28" t="s">
        <v>53</v>
      </c>
      <c r="G6" s="29" t="s">
        <v>54</v>
      </c>
      <c r="H6" s="30"/>
      <c r="I6" s="24"/>
    </row>
    <row r="7" spans="1:9" ht="62.1" customHeight="1" x14ac:dyDescent="0.2">
      <c r="A7" s="24"/>
      <c r="B7" s="2">
        <v>3</v>
      </c>
      <c r="C7" s="25" t="s">
        <v>55</v>
      </c>
      <c r="D7" s="26" t="s">
        <v>19</v>
      </c>
      <c r="E7" s="27" t="s">
        <v>56</v>
      </c>
      <c r="F7" s="28" t="s">
        <v>57</v>
      </c>
      <c r="G7" s="29" t="s">
        <v>58</v>
      </c>
      <c r="H7" s="30"/>
      <c r="I7" s="24"/>
    </row>
    <row r="8" spans="1:9" ht="62.1" customHeight="1" x14ac:dyDescent="0.2">
      <c r="A8" s="24"/>
      <c r="B8" s="2">
        <v>4</v>
      </c>
      <c r="C8" s="31" t="s">
        <v>59</v>
      </c>
      <c r="D8" s="26" t="s">
        <v>16</v>
      </c>
      <c r="E8" s="27" t="s">
        <v>60</v>
      </c>
      <c r="F8" s="28" t="s">
        <v>61</v>
      </c>
      <c r="G8" s="29" t="s">
        <v>62</v>
      </c>
      <c r="H8" s="30"/>
      <c r="I8" s="24"/>
    </row>
    <row r="9" spans="1:9" ht="62.1" customHeight="1" x14ac:dyDescent="0.2">
      <c r="A9" s="24"/>
      <c r="B9" s="2">
        <v>5</v>
      </c>
      <c r="C9" s="25" t="s">
        <v>63</v>
      </c>
      <c r="D9" s="26" t="s">
        <v>16</v>
      </c>
      <c r="E9" s="27" t="s">
        <v>64</v>
      </c>
      <c r="F9" s="28" t="s">
        <v>65</v>
      </c>
      <c r="G9" s="29" t="s">
        <v>66</v>
      </c>
      <c r="H9" s="30"/>
      <c r="I9" s="24"/>
    </row>
    <row r="10" spans="1:9" ht="62.1" customHeight="1" x14ac:dyDescent="0.2">
      <c r="A10" s="24"/>
      <c r="B10" s="2">
        <v>6</v>
      </c>
      <c r="C10" s="31" t="s">
        <v>67</v>
      </c>
      <c r="D10" s="26" t="s">
        <v>16</v>
      </c>
      <c r="E10" s="27" t="s">
        <v>68</v>
      </c>
      <c r="F10" s="28" t="s">
        <v>69</v>
      </c>
      <c r="G10" s="29" t="s">
        <v>70</v>
      </c>
      <c r="H10" s="30"/>
      <c r="I10" s="24"/>
    </row>
    <row r="11" spans="1:9" ht="62.1" customHeight="1" x14ac:dyDescent="0.2">
      <c r="A11" s="24"/>
      <c r="B11" s="2">
        <v>7</v>
      </c>
      <c r="C11" s="25" t="s">
        <v>71</v>
      </c>
      <c r="D11" s="26" t="s">
        <v>16</v>
      </c>
      <c r="E11" s="27" t="s">
        <v>72</v>
      </c>
      <c r="F11" s="28" t="s">
        <v>73</v>
      </c>
      <c r="G11" s="29" t="s">
        <v>74</v>
      </c>
      <c r="H11" s="30"/>
      <c r="I11" s="24"/>
    </row>
    <row r="12" spans="1:9" ht="62.1" customHeight="1" x14ac:dyDescent="0.2">
      <c r="A12" s="24"/>
      <c r="B12" s="2">
        <v>8</v>
      </c>
      <c r="C12" s="31" t="s">
        <v>75</v>
      </c>
      <c r="D12" s="26" t="s">
        <v>16</v>
      </c>
      <c r="E12" s="27" t="s">
        <v>76</v>
      </c>
      <c r="F12" s="28" t="s">
        <v>77</v>
      </c>
      <c r="G12" s="29" t="s">
        <v>78</v>
      </c>
      <c r="H12" s="30"/>
      <c r="I12" s="24"/>
    </row>
    <row r="13" spans="1:9" ht="62.1" customHeight="1" x14ac:dyDescent="0.2">
      <c r="A13" s="24"/>
      <c r="B13" s="2">
        <v>9</v>
      </c>
      <c r="C13" s="25" t="s">
        <v>79</v>
      </c>
      <c r="D13" s="26" t="s">
        <v>16</v>
      </c>
      <c r="E13" s="27" t="s">
        <v>80</v>
      </c>
      <c r="F13" s="28" t="s">
        <v>81</v>
      </c>
      <c r="G13" s="29" t="s">
        <v>82</v>
      </c>
      <c r="H13" s="30"/>
      <c r="I13" s="24"/>
    </row>
    <row r="14" spans="1:9" ht="62.1" customHeight="1" x14ac:dyDescent="0.2">
      <c r="A14" s="24"/>
      <c r="B14" s="2">
        <v>10</v>
      </c>
      <c r="C14" s="31" t="s">
        <v>83</v>
      </c>
      <c r="D14" s="26" t="s">
        <v>16</v>
      </c>
      <c r="E14" s="27" t="s">
        <v>84</v>
      </c>
      <c r="F14" s="28" t="s">
        <v>85</v>
      </c>
      <c r="G14" s="29" t="s">
        <v>86</v>
      </c>
      <c r="H14" s="30"/>
      <c r="I14" s="24"/>
    </row>
    <row r="15" spans="1:9" ht="24" customHeight="1" x14ac:dyDescent="0.2">
      <c r="A15" s="68" t="s">
        <v>87</v>
      </c>
      <c r="B15" s="57"/>
      <c r="C15" s="57"/>
      <c r="D15" s="57"/>
      <c r="E15" s="57"/>
      <c r="F15" s="57"/>
      <c r="G15" s="57"/>
      <c r="H15" s="57"/>
      <c r="I15" s="57"/>
    </row>
    <row r="16" spans="1:9" ht="62.1" customHeight="1" x14ac:dyDescent="0.2">
      <c r="A16" s="32"/>
      <c r="B16" s="3">
        <v>11</v>
      </c>
      <c r="C16" s="25" t="s">
        <v>88</v>
      </c>
      <c r="D16" s="26" t="s">
        <v>22</v>
      </c>
      <c r="E16" s="27" t="s">
        <v>89</v>
      </c>
      <c r="F16" s="28" t="s">
        <v>90</v>
      </c>
      <c r="G16" s="29" t="s">
        <v>91</v>
      </c>
      <c r="H16" s="30"/>
      <c r="I16" s="32"/>
    </row>
    <row r="17" spans="1:9" ht="62.1" customHeight="1" x14ac:dyDescent="0.2">
      <c r="A17" s="32"/>
      <c r="B17" s="3">
        <v>12</v>
      </c>
      <c r="C17" s="33" t="s">
        <v>92</v>
      </c>
      <c r="D17" s="26" t="s">
        <v>22</v>
      </c>
      <c r="E17" s="27" t="s">
        <v>93</v>
      </c>
      <c r="F17" s="28" t="s">
        <v>94</v>
      </c>
      <c r="G17" s="29" t="s">
        <v>95</v>
      </c>
      <c r="H17" s="30"/>
      <c r="I17" s="32"/>
    </row>
    <row r="18" spans="1:9" ht="62.1" customHeight="1" x14ac:dyDescent="0.2">
      <c r="A18" s="32"/>
      <c r="B18" s="3">
        <v>13</v>
      </c>
      <c r="C18" s="25" t="s">
        <v>96</v>
      </c>
      <c r="D18" s="26" t="s">
        <v>22</v>
      </c>
      <c r="E18" s="27" t="s">
        <v>97</v>
      </c>
      <c r="F18" s="28" t="s">
        <v>98</v>
      </c>
      <c r="G18" s="29" t="s">
        <v>99</v>
      </c>
      <c r="H18" s="30"/>
      <c r="I18" s="32"/>
    </row>
    <row r="19" spans="1:9" ht="62.1" customHeight="1" x14ac:dyDescent="0.2">
      <c r="A19" s="32"/>
      <c r="B19" s="3">
        <v>14</v>
      </c>
      <c r="C19" s="33" t="s">
        <v>100</v>
      </c>
      <c r="D19" s="26" t="s">
        <v>16</v>
      </c>
      <c r="E19" s="27" t="s">
        <v>101</v>
      </c>
      <c r="F19" s="28" t="s">
        <v>102</v>
      </c>
      <c r="G19" s="29" t="s">
        <v>103</v>
      </c>
      <c r="H19" s="30"/>
      <c r="I19" s="32"/>
    </row>
    <row r="20" spans="1:9" ht="62.1" customHeight="1" x14ac:dyDescent="0.2">
      <c r="A20" s="32"/>
      <c r="B20" s="3">
        <v>15</v>
      </c>
      <c r="C20" s="25" t="s">
        <v>104</v>
      </c>
      <c r="D20" s="26" t="s">
        <v>16</v>
      </c>
      <c r="E20" s="27" t="s">
        <v>105</v>
      </c>
      <c r="F20" s="28" t="s">
        <v>106</v>
      </c>
      <c r="G20" s="29" t="s">
        <v>107</v>
      </c>
      <c r="H20" s="30"/>
      <c r="I20" s="32"/>
    </row>
    <row r="21" spans="1:9" ht="62.1" customHeight="1" x14ac:dyDescent="0.2">
      <c r="A21" s="32"/>
      <c r="B21" s="3">
        <v>16</v>
      </c>
      <c r="C21" s="33" t="s">
        <v>108</v>
      </c>
      <c r="D21" s="26" t="s">
        <v>16</v>
      </c>
      <c r="E21" s="27" t="s">
        <v>109</v>
      </c>
      <c r="F21" s="28" t="s">
        <v>110</v>
      </c>
      <c r="G21" s="29" t="s">
        <v>111</v>
      </c>
      <c r="H21" s="30"/>
      <c r="I21" s="32"/>
    </row>
    <row r="22" spans="1:9" ht="62.1" customHeight="1" x14ac:dyDescent="0.2">
      <c r="A22" s="32"/>
      <c r="B22" s="3">
        <v>17</v>
      </c>
      <c r="C22" s="25" t="s">
        <v>112</v>
      </c>
      <c r="D22" s="26" t="s">
        <v>19</v>
      </c>
      <c r="E22" s="27" t="s">
        <v>113</v>
      </c>
      <c r="F22" s="28" t="s">
        <v>114</v>
      </c>
      <c r="G22" s="29" t="s">
        <v>115</v>
      </c>
      <c r="H22" s="30"/>
      <c r="I22" s="32"/>
    </row>
    <row r="23" spans="1:9" ht="62.1" customHeight="1" x14ac:dyDescent="0.2">
      <c r="A23" s="32"/>
      <c r="B23" s="3">
        <v>18</v>
      </c>
      <c r="C23" s="33" t="s">
        <v>116</v>
      </c>
      <c r="D23" s="26" t="s">
        <v>19</v>
      </c>
      <c r="E23" s="27" t="s">
        <v>117</v>
      </c>
      <c r="F23" s="28" t="s">
        <v>118</v>
      </c>
      <c r="G23" s="29" t="s">
        <v>119</v>
      </c>
      <c r="H23" s="30"/>
      <c r="I23" s="32"/>
    </row>
    <row r="24" spans="1:9" ht="62.1" customHeight="1" x14ac:dyDescent="0.2">
      <c r="A24" s="32"/>
      <c r="B24" s="3">
        <v>19</v>
      </c>
      <c r="C24" s="25" t="s">
        <v>120</v>
      </c>
      <c r="D24" s="26" t="s">
        <v>19</v>
      </c>
      <c r="E24" s="27" t="s">
        <v>121</v>
      </c>
      <c r="F24" s="28" t="s">
        <v>122</v>
      </c>
      <c r="G24" s="29" t="s">
        <v>123</v>
      </c>
      <c r="H24" s="30"/>
      <c r="I24" s="32"/>
    </row>
    <row r="25" spans="1:9" ht="62.1" customHeight="1" x14ac:dyDescent="0.2">
      <c r="A25" s="32"/>
      <c r="B25" s="3">
        <v>20</v>
      </c>
      <c r="C25" s="33" t="s">
        <v>124</v>
      </c>
      <c r="D25" s="26" t="s">
        <v>19</v>
      </c>
      <c r="E25" s="27" t="s">
        <v>125</v>
      </c>
      <c r="F25" s="28" t="s">
        <v>126</v>
      </c>
      <c r="G25" s="29" t="s">
        <v>127</v>
      </c>
      <c r="H25" s="30"/>
      <c r="I25" s="32"/>
    </row>
    <row r="26" spans="1:9" ht="24" customHeight="1" x14ac:dyDescent="0.2">
      <c r="A26" s="74" t="s">
        <v>128</v>
      </c>
      <c r="B26" s="57"/>
      <c r="C26" s="57"/>
      <c r="D26" s="57"/>
      <c r="E26" s="57"/>
      <c r="F26" s="57"/>
      <c r="G26" s="57"/>
      <c r="H26" s="57"/>
      <c r="I26" s="57"/>
    </row>
    <row r="27" spans="1:9" ht="62.1" customHeight="1" x14ac:dyDescent="0.2">
      <c r="A27" s="34"/>
      <c r="B27" s="5">
        <v>21</v>
      </c>
      <c r="C27" s="25" t="s">
        <v>129</v>
      </c>
      <c r="D27" s="26" t="s">
        <v>22</v>
      </c>
      <c r="E27" s="27" t="s">
        <v>130</v>
      </c>
      <c r="F27" s="28" t="s">
        <v>131</v>
      </c>
      <c r="G27" s="29" t="s">
        <v>132</v>
      </c>
      <c r="H27" s="30"/>
      <c r="I27" s="34"/>
    </row>
    <row r="28" spans="1:9" ht="62.1" customHeight="1" x14ac:dyDescent="0.2">
      <c r="A28" s="34"/>
      <c r="B28" s="5">
        <v>22</v>
      </c>
      <c r="C28" s="35" t="s">
        <v>133</v>
      </c>
      <c r="D28" s="26" t="s">
        <v>22</v>
      </c>
      <c r="E28" s="27" t="s">
        <v>134</v>
      </c>
      <c r="F28" s="28" t="s">
        <v>135</v>
      </c>
      <c r="G28" s="29" t="s">
        <v>136</v>
      </c>
      <c r="H28" s="30"/>
      <c r="I28" s="34"/>
    </row>
    <row r="29" spans="1:9" ht="62.1" customHeight="1" x14ac:dyDescent="0.2">
      <c r="A29" s="34"/>
      <c r="B29" s="5">
        <v>23</v>
      </c>
      <c r="C29" s="25" t="s">
        <v>137</v>
      </c>
      <c r="D29" s="26" t="s">
        <v>19</v>
      </c>
      <c r="E29" s="27" t="s">
        <v>138</v>
      </c>
      <c r="F29" s="28" t="s">
        <v>139</v>
      </c>
      <c r="G29" s="29" t="s">
        <v>140</v>
      </c>
      <c r="H29" s="30"/>
      <c r="I29" s="34"/>
    </row>
    <row r="30" spans="1:9" ht="62.1" customHeight="1" x14ac:dyDescent="0.2">
      <c r="A30" s="34"/>
      <c r="B30" s="5">
        <v>24</v>
      </c>
      <c r="C30" s="35" t="s">
        <v>141</v>
      </c>
      <c r="D30" s="26" t="s">
        <v>19</v>
      </c>
      <c r="E30" s="27" t="s">
        <v>142</v>
      </c>
      <c r="F30" s="28" t="s">
        <v>143</v>
      </c>
      <c r="G30" s="29" t="s">
        <v>144</v>
      </c>
      <c r="H30" s="30"/>
      <c r="I30" s="34"/>
    </row>
    <row r="31" spans="1:9" ht="62.1" customHeight="1" x14ac:dyDescent="0.2">
      <c r="A31" s="34"/>
      <c r="B31" s="5">
        <v>25</v>
      </c>
      <c r="C31" s="25" t="s">
        <v>145</v>
      </c>
      <c r="D31" s="26" t="s">
        <v>19</v>
      </c>
      <c r="E31" s="27" t="s">
        <v>146</v>
      </c>
      <c r="F31" s="28" t="s">
        <v>147</v>
      </c>
      <c r="G31" s="29" t="s">
        <v>148</v>
      </c>
      <c r="H31" s="30"/>
      <c r="I31" s="34"/>
    </row>
    <row r="32" spans="1:9" ht="62.1" customHeight="1" x14ac:dyDescent="0.2">
      <c r="A32" s="34"/>
      <c r="B32" s="5">
        <v>26</v>
      </c>
      <c r="C32" s="35" t="s">
        <v>149</v>
      </c>
      <c r="D32" s="26" t="s">
        <v>16</v>
      </c>
      <c r="E32" s="27" t="s">
        <v>150</v>
      </c>
      <c r="F32" s="28" t="s">
        <v>151</v>
      </c>
      <c r="G32" s="29" t="s">
        <v>152</v>
      </c>
      <c r="H32" s="30"/>
      <c r="I32" s="34"/>
    </row>
    <row r="33" spans="1:9" ht="62.1" customHeight="1" x14ac:dyDescent="0.2">
      <c r="A33" s="34"/>
      <c r="B33" s="5">
        <v>27</v>
      </c>
      <c r="C33" s="25" t="s">
        <v>153</v>
      </c>
      <c r="D33" s="26" t="s">
        <v>16</v>
      </c>
      <c r="E33" s="27" t="s">
        <v>154</v>
      </c>
      <c r="F33" s="28" t="s">
        <v>155</v>
      </c>
      <c r="G33" s="29" t="s">
        <v>156</v>
      </c>
      <c r="H33" s="30"/>
      <c r="I33" s="34"/>
    </row>
    <row r="34" spans="1:9" ht="62.1" customHeight="1" x14ac:dyDescent="0.2">
      <c r="A34" s="34"/>
      <c r="B34" s="5">
        <v>28</v>
      </c>
      <c r="C34" s="35" t="s">
        <v>157</v>
      </c>
      <c r="D34" s="26" t="s">
        <v>16</v>
      </c>
      <c r="E34" s="27" t="s">
        <v>158</v>
      </c>
      <c r="F34" s="28" t="s">
        <v>159</v>
      </c>
      <c r="G34" s="29" t="s">
        <v>160</v>
      </c>
      <c r="H34" s="30"/>
      <c r="I34" s="34"/>
    </row>
    <row r="35" spans="1:9" ht="62.1" customHeight="1" x14ac:dyDescent="0.2">
      <c r="A35" s="34"/>
      <c r="B35" s="5">
        <v>29</v>
      </c>
      <c r="C35" s="25" t="s">
        <v>161</v>
      </c>
      <c r="D35" s="26" t="s">
        <v>16</v>
      </c>
      <c r="E35" s="27" t="s">
        <v>162</v>
      </c>
      <c r="F35" s="28" t="s">
        <v>163</v>
      </c>
      <c r="G35" s="29" t="s">
        <v>164</v>
      </c>
      <c r="H35" s="30"/>
      <c r="I35" s="34"/>
    </row>
    <row r="36" spans="1:9" ht="62.1" customHeight="1" x14ac:dyDescent="0.2">
      <c r="A36" s="34"/>
      <c r="B36" s="5">
        <v>30</v>
      </c>
      <c r="C36" s="35" t="s">
        <v>294</v>
      </c>
      <c r="D36" s="26" t="s">
        <v>16</v>
      </c>
      <c r="E36" s="27" t="s">
        <v>165</v>
      </c>
      <c r="F36" s="28" t="s">
        <v>166</v>
      </c>
      <c r="G36" s="29" t="s">
        <v>167</v>
      </c>
      <c r="H36" s="30"/>
      <c r="I36" s="34"/>
    </row>
    <row r="37" spans="1:9" ht="24" customHeight="1" x14ac:dyDescent="0.2">
      <c r="A37" s="70" t="s">
        <v>168</v>
      </c>
      <c r="B37" s="57"/>
      <c r="C37" s="57"/>
      <c r="D37" s="57"/>
      <c r="E37" s="57"/>
      <c r="F37" s="57"/>
      <c r="G37" s="57"/>
      <c r="H37" s="57"/>
      <c r="I37" s="57"/>
    </row>
    <row r="38" spans="1:9" ht="62.1" customHeight="1" x14ac:dyDescent="0.2">
      <c r="A38" s="36"/>
      <c r="B38" s="6">
        <v>31</v>
      </c>
      <c r="C38" s="25" t="s">
        <v>169</v>
      </c>
      <c r="D38" s="26" t="s">
        <v>22</v>
      </c>
      <c r="E38" s="27" t="s">
        <v>170</v>
      </c>
      <c r="F38" s="28" t="s">
        <v>171</v>
      </c>
      <c r="G38" s="29" t="s">
        <v>172</v>
      </c>
      <c r="H38" s="30"/>
      <c r="I38" s="36"/>
    </row>
    <row r="39" spans="1:9" ht="62.1" customHeight="1" x14ac:dyDescent="0.2">
      <c r="A39" s="36"/>
      <c r="B39" s="6">
        <v>32</v>
      </c>
      <c r="C39" s="37" t="s">
        <v>173</v>
      </c>
      <c r="D39" s="26" t="s">
        <v>22</v>
      </c>
      <c r="E39" s="27" t="s">
        <v>174</v>
      </c>
      <c r="F39" s="28" t="s">
        <v>175</v>
      </c>
      <c r="G39" s="29" t="s">
        <v>176</v>
      </c>
      <c r="H39" s="30"/>
      <c r="I39" s="36"/>
    </row>
    <row r="40" spans="1:9" ht="62.1" customHeight="1" x14ac:dyDescent="0.2">
      <c r="A40" s="36"/>
      <c r="B40" s="6">
        <v>33</v>
      </c>
      <c r="C40" s="25" t="s">
        <v>177</v>
      </c>
      <c r="D40" s="26" t="s">
        <v>22</v>
      </c>
      <c r="E40" s="27" t="s">
        <v>178</v>
      </c>
      <c r="F40" s="28" t="s">
        <v>179</v>
      </c>
      <c r="G40" s="29" t="s">
        <v>180</v>
      </c>
      <c r="H40" s="30"/>
      <c r="I40" s="36"/>
    </row>
    <row r="41" spans="1:9" ht="62.1" customHeight="1" x14ac:dyDescent="0.2">
      <c r="A41" s="36"/>
      <c r="B41" s="6">
        <v>34</v>
      </c>
      <c r="C41" s="37" t="s">
        <v>181</v>
      </c>
      <c r="D41" s="26" t="s">
        <v>22</v>
      </c>
      <c r="E41" s="27" t="s">
        <v>182</v>
      </c>
      <c r="F41" s="28" t="s">
        <v>183</v>
      </c>
      <c r="G41" s="29" t="s">
        <v>184</v>
      </c>
      <c r="H41" s="30"/>
      <c r="I41" s="36"/>
    </row>
    <row r="42" spans="1:9" ht="62.1" customHeight="1" x14ac:dyDescent="0.2">
      <c r="A42" s="36"/>
      <c r="B42" s="6">
        <v>35</v>
      </c>
      <c r="C42" s="25" t="s">
        <v>185</v>
      </c>
      <c r="D42" s="26" t="s">
        <v>22</v>
      </c>
      <c r="E42" s="27" t="s">
        <v>186</v>
      </c>
      <c r="F42" s="28" t="s">
        <v>187</v>
      </c>
      <c r="G42" s="29" t="s">
        <v>188</v>
      </c>
      <c r="H42" s="30"/>
      <c r="I42" s="36"/>
    </row>
    <row r="43" spans="1:9" ht="62.1" customHeight="1" x14ac:dyDescent="0.2">
      <c r="A43" s="36"/>
      <c r="B43" s="6">
        <v>36</v>
      </c>
      <c r="C43" s="37" t="s">
        <v>189</v>
      </c>
      <c r="D43" s="26" t="s">
        <v>22</v>
      </c>
      <c r="E43" s="27" t="s">
        <v>190</v>
      </c>
      <c r="F43" s="28" t="s">
        <v>191</v>
      </c>
      <c r="G43" s="29" t="s">
        <v>192</v>
      </c>
      <c r="H43" s="30"/>
      <c r="I43" s="36"/>
    </row>
    <row r="44" spans="1:9" ht="62.1" customHeight="1" x14ac:dyDescent="0.2">
      <c r="A44" s="36"/>
      <c r="B44" s="6">
        <v>37</v>
      </c>
      <c r="C44" s="25" t="s">
        <v>193</v>
      </c>
      <c r="D44" s="26" t="s">
        <v>22</v>
      </c>
      <c r="E44" s="27" t="s">
        <v>194</v>
      </c>
      <c r="F44" s="28" t="s">
        <v>195</v>
      </c>
      <c r="G44" s="29" t="s">
        <v>196</v>
      </c>
      <c r="H44" s="30"/>
      <c r="I44" s="36"/>
    </row>
    <row r="45" spans="1:9" ht="62.1" customHeight="1" x14ac:dyDescent="0.2">
      <c r="A45" s="36"/>
      <c r="B45" s="6">
        <v>38</v>
      </c>
      <c r="C45" s="37" t="s">
        <v>197</v>
      </c>
      <c r="D45" s="26" t="s">
        <v>22</v>
      </c>
      <c r="E45" s="27" t="s">
        <v>198</v>
      </c>
      <c r="F45" s="28" t="s">
        <v>199</v>
      </c>
      <c r="G45" s="29" t="s">
        <v>200</v>
      </c>
      <c r="H45" s="30"/>
      <c r="I45" s="36"/>
    </row>
    <row r="46" spans="1:9" ht="62.1" customHeight="1" x14ac:dyDescent="0.2">
      <c r="A46" s="36"/>
      <c r="B46" s="6">
        <v>39</v>
      </c>
      <c r="C46" s="25" t="s">
        <v>201</v>
      </c>
      <c r="D46" s="26" t="s">
        <v>19</v>
      </c>
      <c r="E46" s="27" t="s">
        <v>202</v>
      </c>
      <c r="F46" s="28" t="s">
        <v>203</v>
      </c>
      <c r="G46" s="29" t="s">
        <v>204</v>
      </c>
      <c r="H46" s="30"/>
      <c r="I46" s="36"/>
    </row>
    <row r="47" spans="1:9" ht="62.1" customHeight="1" x14ac:dyDescent="0.2">
      <c r="A47" s="36"/>
      <c r="B47" s="6">
        <v>40</v>
      </c>
      <c r="C47" s="37" t="s">
        <v>205</v>
      </c>
      <c r="D47" s="26" t="s">
        <v>16</v>
      </c>
      <c r="E47" s="27" t="s">
        <v>206</v>
      </c>
      <c r="F47" s="28" t="s">
        <v>207</v>
      </c>
      <c r="G47" s="29" t="s">
        <v>208</v>
      </c>
      <c r="H47" s="30"/>
      <c r="I47" s="36"/>
    </row>
    <row r="48" spans="1:9" ht="24" customHeight="1" x14ac:dyDescent="0.2">
      <c r="A48" s="73" t="s">
        <v>209</v>
      </c>
      <c r="B48" s="57"/>
      <c r="C48" s="57"/>
      <c r="D48" s="57"/>
      <c r="E48" s="57"/>
      <c r="F48" s="57"/>
      <c r="G48" s="57"/>
      <c r="H48" s="57"/>
      <c r="I48" s="57"/>
    </row>
    <row r="49" spans="1:9" ht="62.1" customHeight="1" x14ac:dyDescent="0.2">
      <c r="A49" s="38"/>
      <c r="B49" s="7">
        <v>41</v>
      </c>
      <c r="C49" s="25" t="s">
        <v>210</v>
      </c>
      <c r="D49" s="26" t="s">
        <v>19</v>
      </c>
      <c r="E49" s="27" t="s">
        <v>211</v>
      </c>
      <c r="F49" s="28" t="s">
        <v>212</v>
      </c>
      <c r="G49" s="29" t="s">
        <v>213</v>
      </c>
      <c r="H49" s="30"/>
      <c r="I49" s="38"/>
    </row>
    <row r="50" spans="1:9" ht="62.1" customHeight="1" x14ac:dyDescent="0.2">
      <c r="A50" s="38"/>
      <c r="B50" s="7">
        <v>42</v>
      </c>
      <c r="C50" s="39" t="s">
        <v>214</v>
      </c>
      <c r="D50" s="26" t="s">
        <v>19</v>
      </c>
      <c r="E50" s="27" t="s">
        <v>215</v>
      </c>
      <c r="F50" s="28" t="s">
        <v>216</v>
      </c>
      <c r="G50" s="29" t="s">
        <v>217</v>
      </c>
      <c r="H50" s="30"/>
      <c r="I50" s="38"/>
    </row>
    <row r="51" spans="1:9" ht="62.1" customHeight="1" x14ac:dyDescent="0.2">
      <c r="A51" s="38"/>
      <c r="B51" s="7">
        <v>43</v>
      </c>
      <c r="C51" s="25" t="s">
        <v>218</v>
      </c>
      <c r="D51" s="26" t="s">
        <v>19</v>
      </c>
      <c r="E51" s="27" t="s">
        <v>219</v>
      </c>
      <c r="F51" s="28" t="s">
        <v>220</v>
      </c>
      <c r="G51" s="29" t="s">
        <v>221</v>
      </c>
      <c r="H51" s="30"/>
      <c r="I51" s="38"/>
    </row>
    <row r="52" spans="1:9" ht="62.1" customHeight="1" x14ac:dyDescent="0.2">
      <c r="A52" s="38"/>
      <c r="B52" s="7">
        <v>44</v>
      </c>
      <c r="C52" s="39" t="s">
        <v>222</v>
      </c>
      <c r="D52" s="26" t="s">
        <v>19</v>
      </c>
      <c r="E52" s="27" t="s">
        <v>223</v>
      </c>
      <c r="F52" s="28" t="s">
        <v>224</v>
      </c>
      <c r="G52" s="29" t="s">
        <v>225</v>
      </c>
      <c r="H52" s="30"/>
      <c r="I52" s="38"/>
    </row>
    <row r="53" spans="1:9" ht="62.1" customHeight="1" x14ac:dyDescent="0.2">
      <c r="A53" s="38"/>
      <c r="B53" s="7">
        <v>45</v>
      </c>
      <c r="C53" s="25" t="s">
        <v>226</v>
      </c>
      <c r="D53" s="26" t="s">
        <v>19</v>
      </c>
      <c r="E53" s="27" t="s">
        <v>227</v>
      </c>
      <c r="F53" s="28" t="s">
        <v>228</v>
      </c>
      <c r="G53" s="29" t="s">
        <v>229</v>
      </c>
      <c r="H53" s="30"/>
      <c r="I53" s="38"/>
    </row>
    <row r="54" spans="1:9" ht="62.1" customHeight="1" x14ac:dyDescent="0.2">
      <c r="A54" s="38"/>
      <c r="B54" s="7">
        <v>46</v>
      </c>
      <c r="C54" s="39" t="s">
        <v>230</v>
      </c>
      <c r="D54" s="26" t="s">
        <v>19</v>
      </c>
      <c r="E54" s="27" t="s">
        <v>231</v>
      </c>
      <c r="F54" s="28" t="s">
        <v>232</v>
      </c>
      <c r="G54" s="29" t="s">
        <v>233</v>
      </c>
      <c r="H54" s="30"/>
      <c r="I54" s="38"/>
    </row>
    <row r="55" spans="1:9" ht="62.1" customHeight="1" x14ac:dyDescent="0.2">
      <c r="A55" s="38"/>
      <c r="B55" s="7">
        <v>47</v>
      </c>
      <c r="C55" s="25" t="s">
        <v>234</v>
      </c>
      <c r="D55" s="26" t="s">
        <v>19</v>
      </c>
      <c r="E55" s="27" t="s">
        <v>235</v>
      </c>
      <c r="F55" s="28" t="s">
        <v>236</v>
      </c>
      <c r="G55" s="29" t="s">
        <v>237</v>
      </c>
      <c r="H55" s="30"/>
      <c r="I55" s="38"/>
    </row>
    <row r="56" spans="1:9" ht="62.1" customHeight="1" x14ac:dyDescent="0.2">
      <c r="A56" s="38"/>
      <c r="B56" s="7">
        <v>48</v>
      </c>
      <c r="C56" s="39" t="s">
        <v>238</v>
      </c>
      <c r="D56" s="26" t="s">
        <v>19</v>
      </c>
      <c r="E56" s="27" t="s">
        <v>239</v>
      </c>
      <c r="F56" s="28" t="s">
        <v>240</v>
      </c>
      <c r="G56" s="29" t="s">
        <v>241</v>
      </c>
      <c r="H56" s="30"/>
      <c r="I56" s="38"/>
    </row>
    <row r="57" spans="1:9" ht="62.1" customHeight="1" x14ac:dyDescent="0.2">
      <c r="A57" s="38"/>
      <c r="B57" s="7">
        <v>49</v>
      </c>
      <c r="C57" s="25" t="s">
        <v>242</v>
      </c>
      <c r="D57" s="26" t="s">
        <v>16</v>
      </c>
      <c r="E57" s="27" t="s">
        <v>243</v>
      </c>
      <c r="F57" s="28" t="s">
        <v>244</v>
      </c>
      <c r="G57" s="29" t="s">
        <v>245</v>
      </c>
      <c r="H57" s="30"/>
      <c r="I57" s="38"/>
    </row>
    <row r="58" spans="1:9" ht="62.1" customHeight="1" x14ac:dyDescent="0.2">
      <c r="A58" s="38"/>
      <c r="B58" s="7">
        <v>50</v>
      </c>
      <c r="C58" s="39" t="s">
        <v>292</v>
      </c>
      <c r="D58" s="26" t="s">
        <v>22</v>
      </c>
      <c r="E58" s="27" t="s">
        <v>246</v>
      </c>
      <c r="F58" s="28" t="s">
        <v>247</v>
      </c>
      <c r="G58" s="29" t="s">
        <v>248</v>
      </c>
      <c r="H58" s="30"/>
      <c r="I58" s="38"/>
    </row>
    <row r="59" spans="1:9" ht="30" customHeight="1" x14ac:dyDescent="0.2">
      <c r="A59" s="58" t="s">
        <v>249</v>
      </c>
      <c r="B59" s="57"/>
      <c r="C59" s="57"/>
      <c r="D59" s="40">
        <f>COUNTIF(D4:D58,"✅ Có hệ thống")*2+COUNTIF(D4:D58,"🔄 Đang xây dựng")*1</f>
        <v>53</v>
      </c>
      <c r="E59" s="71">
        <f>D59/100</f>
        <v>0.53</v>
      </c>
      <c r="F59" s="57"/>
      <c r="G59" s="57"/>
      <c r="H59" s="57"/>
      <c r="I59" s="41"/>
    </row>
  </sheetData>
  <mergeCells count="9">
    <mergeCell ref="A15:I15"/>
    <mergeCell ref="A2:I2"/>
    <mergeCell ref="A37:I37"/>
    <mergeCell ref="A1:I1"/>
    <mergeCell ref="E59:H59"/>
    <mergeCell ref="A59:C59"/>
    <mergeCell ref="A4:I4"/>
    <mergeCell ref="A48:I48"/>
    <mergeCell ref="A26:I26"/>
  </mergeCells>
  <dataValidations count="1">
    <dataValidation type="list" showErrorMessage="1" errorTitle="Giá trị không hợp lệ" error="Vui lòng chọn một trong 3 đáp án từ danh sách" sqref="D38:D47 D49:D58 D16:D25 D27:D36 D5:D14" xr:uid="{00000000-0002-0000-0100-000000000000}">
      <formula1>"✅ Có hệ thống,🔄 Đang xây dựng,❌ Chưa có"</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2"/>
  <sheetViews>
    <sheetView showGridLines="0" tabSelected="1" workbookViewId="0">
      <pane ySplit="2" topLeftCell="A3" activePane="bottomLeft" state="frozen"/>
      <selection pane="bottomLeft" activeCell="J23" sqref="J23"/>
    </sheetView>
  </sheetViews>
  <sheetFormatPr defaultRowHeight="14.25" x14ac:dyDescent="0.2"/>
  <cols>
    <col min="1" max="1" width="3" customWidth="1"/>
    <col min="2" max="2" width="30" customWidth="1"/>
    <col min="3" max="4" width="14" customWidth="1"/>
    <col min="5" max="5" width="18" customWidth="1"/>
    <col min="6" max="6" width="34" customWidth="1"/>
    <col min="7" max="7" width="3" customWidth="1"/>
  </cols>
  <sheetData>
    <row r="1" spans="1:7" ht="33.950000000000003" customHeight="1" x14ac:dyDescent="0.2">
      <c r="A1" s="67" t="s">
        <v>250</v>
      </c>
      <c r="B1" s="57"/>
      <c r="C1" s="57"/>
      <c r="D1" s="57"/>
      <c r="E1" s="57"/>
      <c r="F1" s="57"/>
      <c r="G1" s="57"/>
    </row>
    <row r="2" spans="1:7" ht="20.100000000000001" customHeight="1" x14ac:dyDescent="0.2">
      <c r="A2" s="69" t="s">
        <v>251</v>
      </c>
      <c r="B2" s="57"/>
      <c r="C2" s="57"/>
      <c r="D2" s="57"/>
      <c r="E2" s="57"/>
      <c r="F2" s="57"/>
      <c r="G2" s="57"/>
    </row>
    <row r="3" spans="1:7" ht="12" customHeight="1" x14ac:dyDescent="0.2"/>
    <row r="4" spans="1:7" ht="26.1" customHeight="1" x14ac:dyDescent="0.2">
      <c r="A4" s="78" t="s">
        <v>252</v>
      </c>
      <c r="B4" s="57"/>
      <c r="C4" s="57"/>
      <c r="D4" s="57"/>
      <c r="E4" s="57"/>
      <c r="F4" s="57"/>
      <c r="G4" s="57"/>
    </row>
    <row r="5" spans="1:7" ht="32.1" customHeight="1" x14ac:dyDescent="0.2">
      <c r="A5" s="79" t="s">
        <v>253</v>
      </c>
      <c r="B5" s="57"/>
      <c r="C5" s="40">
        <f>'📝 Bảng Chẩn Đoán'!D59</f>
        <v>53</v>
      </c>
      <c r="D5" s="76" t="s">
        <v>254</v>
      </c>
      <c r="E5" s="57"/>
      <c r="F5" s="57"/>
      <c r="G5" s="57"/>
    </row>
    <row r="6" spans="1:7" ht="32.1" customHeight="1" x14ac:dyDescent="0.2">
      <c r="A6" s="79" t="s">
        <v>255</v>
      </c>
      <c r="B6" s="57"/>
      <c r="C6" s="42">
        <f>'📝 Bảng Chẩn Đoán'!D59/100</f>
        <v>0.53</v>
      </c>
      <c r="D6" s="76" t="s">
        <v>256</v>
      </c>
      <c r="E6" s="57"/>
      <c r="F6" s="57"/>
      <c r="G6" s="57"/>
    </row>
    <row r="7" spans="1:7" ht="32.1" customHeight="1" x14ac:dyDescent="0.2">
      <c r="A7" s="79" t="s">
        <v>257</v>
      </c>
      <c r="B7" s="57"/>
      <c r="C7" s="43">
        <f>COUNTIF('📝 Bảng Chẩn Đoán'!D4:D58,"✅ Có hệ thống")</f>
        <v>17</v>
      </c>
      <c r="D7" s="76" t="s">
        <v>258</v>
      </c>
      <c r="E7" s="57"/>
      <c r="F7" s="57"/>
      <c r="G7" s="57"/>
    </row>
    <row r="8" spans="1:7" ht="32.1" customHeight="1" x14ac:dyDescent="0.2">
      <c r="A8" s="79" t="s">
        <v>259</v>
      </c>
      <c r="B8" s="57"/>
      <c r="C8" s="44">
        <f>COUNTIF('📝 Bảng Chẩn Đoán'!D4:D58,"🔄 Đang xây dựng")</f>
        <v>19</v>
      </c>
      <c r="D8" s="76" t="s">
        <v>260</v>
      </c>
      <c r="E8" s="57"/>
      <c r="F8" s="57"/>
      <c r="G8" s="57"/>
    </row>
    <row r="9" spans="1:7" ht="32.1" customHeight="1" x14ac:dyDescent="0.2">
      <c r="A9" s="79" t="s">
        <v>261</v>
      </c>
      <c r="B9" s="57"/>
      <c r="C9" s="45">
        <f>COUNTIF('📝 Bảng Chẩn Đoán'!D4:D58,"❌ Chưa có")</f>
        <v>14</v>
      </c>
      <c r="D9" s="76" t="s">
        <v>262</v>
      </c>
      <c r="E9" s="57"/>
      <c r="F9" s="57"/>
      <c r="G9" s="57"/>
    </row>
    <row r="10" spans="1:7" ht="12" customHeight="1" x14ac:dyDescent="0.2"/>
    <row r="11" spans="1:7" ht="26.1" customHeight="1" x14ac:dyDescent="0.2">
      <c r="A11" s="78" t="s">
        <v>263</v>
      </c>
      <c r="B11" s="57"/>
      <c r="C11" s="57"/>
      <c r="D11" s="57"/>
      <c r="E11" s="57"/>
      <c r="F11" s="57"/>
      <c r="G11" s="57"/>
    </row>
    <row r="12" spans="1:7" ht="26.1" customHeight="1" x14ac:dyDescent="0.2">
      <c r="A12" s="46"/>
      <c r="B12" s="46" t="s">
        <v>264</v>
      </c>
      <c r="C12" s="46" t="s">
        <v>265</v>
      </c>
      <c r="D12" s="46" t="s">
        <v>266</v>
      </c>
      <c r="E12" s="46" t="s">
        <v>267</v>
      </c>
      <c r="F12" s="46" t="s">
        <v>268</v>
      </c>
      <c r="G12" s="46"/>
    </row>
    <row r="13" spans="1:7" ht="42" customHeight="1" x14ac:dyDescent="0.2">
      <c r="A13" s="24"/>
      <c r="B13" s="31" t="s">
        <v>26</v>
      </c>
      <c r="C13" s="47">
        <f>2*COUNTIF('📝 Bảng Chẩn Đoán'!D5:D14,"✅ Có hệ thống")+COUNTIF('📝 Bảng Chẩn Đoán'!D5:D14,"🔄 Đang xây dựng")</f>
        <v>17</v>
      </c>
      <c r="D13" s="1">
        <v>20</v>
      </c>
      <c r="E13" s="48">
        <f>C13/20</f>
        <v>0.85</v>
      </c>
      <c r="F13" s="49" t="str">
        <f>IF(C13&lt;=6,"🔴 Nguy hiểm – Ưu tiên xử lý ngay",IF(C13&lt;=10,"🟡 Yếu – Cải thiện trong 30 ngày",IF(C13&lt;=14,"🔵 Đang phát triển – Tối ưu thêm",IF(C13&lt;=18,"🟢 Tốt – Duy trì &amp; nâng cao","✅ Xuất sắc – Mô hình hóa"))))</f>
        <v>🟢 Tốt – Duy trì &amp; nâng cao</v>
      </c>
      <c r="G13" s="24"/>
    </row>
    <row r="14" spans="1:7" ht="42" customHeight="1" x14ac:dyDescent="0.2">
      <c r="A14" s="32"/>
      <c r="B14" s="33" t="s">
        <v>28</v>
      </c>
      <c r="C14" s="50">
        <f>2*COUNTIF('📝 Bảng Chẩn Đoán'!D16:D25,"✅ Có hệ thống")+COUNTIF('📝 Bảng Chẩn Đoán'!D16:D25,"🔄 Đang xây dựng")</f>
        <v>10</v>
      </c>
      <c r="D14" s="1">
        <v>20</v>
      </c>
      <c r="E14" s="48">
        <f>C14/20</f>
        <v>0.5</v>
      </c>
      <c r="F14" s="49" t="str">
        <f>IF(C14&lt;=6,"🔴 Nguy hiểm – Ưu tiên xử lý ngay",IF(C14&lt;=10,"🟡 Yếu – Cải thiện trong 30 ngày",IF(C14&lt;=14,"🔵 Đang phát triển – Tối ưu thêm",IF(C14&lt;=18,"🟢 Tốt – Duy trì &amp; nâng cao","✅ Xuất sắc – Mô hình hóa"))))</f>
        <v>🟡 Yếu – Cải thiện trong 30 ngày</v>
      </c>
      <c r="G14" s="32"/>
    </row>
    <row r="15" spans="1:7" ht="42" customHeight="1" x14ac:dyDescent="0.2">
      <c r="A15" s="34"/>
      <c r="B15" s="35" t="s">
        <v>30</v>
      </c>
      <c r="C15" s="51">
        <f>2*COUNTIF('📝 Bảng Chẩn Đoán'!D27:D36,"✅ Có hệ thống")+COUNTIF('📝 Bảng Chẩn Đoán'!D27:D36,"🔄 Đang xây dựng")</f>
        <v>13</v>
      </c>
      <c r="D15" s="1">
        <v>20</v>
      </c>
      <c r="E15" s="48">
        <f>C15/20</f>
        <v>0.65</v>
      </c>
      <c r="F15" s="49" t="str">
        <f>IF(C15&lt;=6,"🔴 Nguy hiểm – Ưu tiên xử lý ngay",IF(C15&lt;=10,"🟡 Yếu – Cải thiện trong 30 ngày",IF(C15&lt;=14,"🔵 Đang phát triển – Tối ưu thêm",IF(C15&lt;=18,"🟢 Tốt – Duy trì &amp; nâng cao","✅ Xuất sắc – Mô hình hóa"))))</f>
        <v>🔵 Đang phát triển – Tối ưu thêm</v>
      </c>
      <c r="G15" s="34"/>
    </row>
    <row r="16" spans="1:7" ht="42" customHeight="1" x14ac:dyDescent="0.2">
      <c r="A16" s="36"/>
      <c r="B16" s="37" t="s">
        <v>32</v>
      </c>
      <c r="C16" s="52">
        <f>2*COUNTIF('📝 Bảng Chẩn Đoán'!D38:D47,"✅ Có hệ thống")+COUNTIF('📝 Bảng Chẩn Đoán'!D38:D47,"🔄 Đang xây dựng")</f>
        <v>3</v>
      </c>
      <c r="D16" s="1">
        <v>20</v>
      </c>
      <c r="E16" s="48">
        <f>C16/20</f>
        <v>0.15</v>
      </c>
      <c r="F16" s="49" t="str">
        <f>IF(C16&lt;=6,"🔴 Nguy hiểm – Ưu tiên xử lý ngay",IF(C16&lt;=10,"🟡 Yếu – Cải thiện trong 30 ngày",IF(C16&lt;=14,"🔵 Đang phát triển – Tối ưu thêm",IF(C16&lt;=18,"🟢 Tốt – Duy trì &amp; nâng cao","✅ Xuất sắc – Mô hình hóa"))))</f>
        <v>🔴 Nguy hiểm – Ưu tiên xử lý ngay</v>
      </c>
      <c r="G16" s="36"/>
    </row>
    <row r="17" spans="1:7" ht="42" customHeight="1" x14ac:dyDescent="0.2">
      <c r="A17" s="38"/>
      <c r="B17" s="39" t="s">
        <v>34</v>
      </c>
      <c r="C17" s="53">
        <f>2*COUNTIF('📝 Bảng Chẩn Đoán'!D49:D58,"✅ Có hệ thống")+COUNTIF('📝 Bảng Chẩn Đoán'!D49:D58,"🔄 Đang xây dựng")</f>
        <v>10</v>
      </c>
      <c r="D17" s="1">
        <v>20</v>
      </c>
      <c r="E17" s="48">
        <f>C17/20</f>
        <v>0.5</v>
      </c>
      <c r="F17" s="49" t="str">
        <f>IF(C17&lt;=6,"🔴 Nguy hiểm – Ưu tiên xử lý ngay",IF(C17&lt;=10,"🟡 Yếu – Cải thiện trong 30 ngày",IF(C17&lt;=14,"🔵 Đang phát triển – Tối ưu thêm",IF(C17&lt;=18,"🟢 Tốt – Duy trì &amp; nâng cao","✅ Xuất sắc – Mô hình hóa"))))</f>
        <v>🟡 Yếu – Cải thiện trong 30 ngày</v>
      </c>
      <c r="G17" s="38"/>
    </row>
    <row r="18" spans="1:7" ht="12" customHeight="1" x14ac:dyDescent="0.2"/>
    <row r="19" spans="1:7" ht="26.1" customHeight="1" x14ac:dyDescent="0.2">
      <c r="A19" s="78" t="s">
        <v>269</v>
      </c>
      <c r="B19" s="57"/>
      <c r="C19" s="57"/>
      <c r="D19" s="57"/>
      <c r="E19" s="57"/>
      <c r="F19" s="57"/>
      <c r="G19" s="57"/>
    </row>
    <row r="20" spans="1:7" ht="42" customHeight="1" x14ac:dyDescent="0.2">
      <c r="A20" s="88" t="s">
        <v>270</v>
      </c>
      <c r="B20" s="57"/>
      <c r="C20" s="80" t="s">
        <v>271</v>
      </c>
      <c r="D20" s="57"/>
      <c r="E20" s="55" t="s">
        <v>272</v>
      </c>
      <c r="F20" s="57"/>
      <c r="G20" s="57"/>
    </row>
    <row r="21" spans="1:7" ht="42" customHeight="1" x14ac:dyDescent="0.2">
      <c r="A21" s="83" t="s">
        <v>273</v>
      </c>
      <c r="B21" s="57"/>
      <c r="C21" s="84" t="s">
        <v>274</v>
      </c>
      <c r="D21" s="57"/>
      <c r="E21" s="66" t="s">
        <v>275</v>
      </c>
      <c r="F21" s="57"/>
      <c r="G21" s="57"/>
    </row>
    <row r="22" spans="1:7" ht="42" customHeight="1" x14ac:dyDescent="0.2">
      <c r="A22" s="87" t="s">
        <v>276</v>
      </c>
      <c r="B22" s="57"/>
      <c r="C22" s="82" t="s">
        <v>277</v>
      </c>
      <c r="D22" s="57"/>
      <c r="E22" s="61" t="s">
        <v>278</v>
      </c>
      <c r="F22" s="57"/>
      <c r="G22" s="57"/>
    </row>
    <row r="23" spans="1:7" ht="42" customHeight="1" x14ac:dyDescent="0.2">
      <c r="A23" s="85" t="s">
        <v>279</v>
      </c>
      <c r="B23" s="57"/>
      <c r="C23" s="86" t="s">
        <v>280</v>
      </c>
      <c r="D23" s="57"/>
      <c r="E23" s="59" t="s">
        <v>281</v>
      </c>
      <c r="F23" s="57"/>
      <c r="G23" s="57"/>
    </row>
    <row r="24" spans="1:7" ht="42" customHeight="1" x14ac:dyDescent="0.2">
      <c r="A24" s="75" t="s">
        <v>282</v>
      </c>
      <c r="B24" s="57"/>
      <c r="C24" s="77" t="s">
        <v>283</v>
      </c>
      <c r="D24" s="57"/>
      <c r="E24" s="89" t="s">
        <v>284</v>
      </c>
      <c r="F24" s="57"/>
      <c r="G24" s="57"/>
    </row>
    <row r="25" spans="1:7" ht="12" customHeight="1" x14ac:dyDescent="0.2"/>
    <row r="26" spans="1:7" ht="26.1" customHeight="1" x14ac:dyDescent="0.2">
      <c r="A26" s="78" t="s">
        <v>285</v>
      </c>
      <c r="B26" s="57"/>
      <c r="C26" s="57"/>
      <c r="D26" s="57"/>
      <c r="E26" s="57"/>
      <c r="F26" s="57"/>
      <c r="G26" s="57"/>
    </row>
    <row r="27" spans="1:7" ht="24" customHeight="1" x14ac:dyDescent="0.2">
      <c r="A27" s="46"/>
      <c r="B27" s="46" t="s">
        <v>286</v>
      </c>
      <c r="C27" s="46" t="s">
        <v>287</v>
      </c>
      <c r="D27" s="46" t="s">
        <v>288</v>
      </c>
      <c r="E27" s="46" t="s">
        <v>289</v>
      </c>
      <c r="F27" s="46" t="s">
        <v>290</v>
      </c>
      <c r="G27" s="46"/>
    </row>
    <row r="28" spans="1:7" ht="51.95" customHeight="1" x14ac:dyDescent="0.2">
      <c r="A28" s="41"/>
      <c r="B28" s="54"/>
      <c r="C28" s="30"/>
      <c r="D28" s="14"/>
      <c r="E28" s="30"/>
      <c r="F28" s="4"/>
      <c r="G28" s="41"/>
    </row>
    <row r="29" spans="1:7" ht="51.95" customHeight="1" x14ac:dyDescent="0.2">
      <c r="A29" s="41"/>
      <c r="B29" s="54"/>
      <c r="C29" s="30"/>
      <c r="D29" s="14"/>
      <c r="E29" s="30"/>
      <c r="F29" s="4"/>
      <c r="G29" s="41"/>
    </row>
    <row r="30" spans="1:7" ht="51.95" customHeight="1" x14ac:dyDescent="0.2">
      <c r="A30" s="41"/>
      <c r="B30" s="54"/>
      <c r="C30" s="30"/>
      <c r="D30" s="14"/>
      <c r="E30" s="30"/>
      <c r="F30" s="4"/>
      <c r="G30" s="41"/>
    </row>
    <row r="31" spans="1:7" ht="30" customHeight="1" x14ac:dyDescent="0.2">
      <c r="A31" s="81" t="s">
        <v>291</v>
      </c>
      <c r="B31" s="57"/>
      <c r="C31" s="57"/>
      <c r="D31" s="57"/>
      <c r="E31" s="57"/>
      <c r="F31" s="57"/>
      <c r="G31" s="57"/>
    </row>
    <row r="32" spans="1:7" x14ac:dyDescent="0.2">
      <c r="A32" s="64" t="s">
        <v>36</v>
      </c>
      <c r="B32" s="57"/>
      <c r="C32" s="57"/>
      <c r="D32" s="57"/>
      <c r="E32" s="57"/>
      <c r="F32" s="57"/>
      <c r="G32" s="57"/>
    </row>
  </sheetData>
  <mergeCells count="33">
    <mergeCell ref="A1:G1"/>
    <mergeCell ref="C21:D21"/>
    <mergeCell ref="E22:G22"/>
    <mergeCell ref="D6:G6"/>
    <mergeCell ref="A5:B5"/>
    <mergeCell ref="E21:G21"/>
    <mergeCell ref="A8:B8"/>
    <mergeCell ref="A22:B22"/>
    <mergeCell ref="A20:B20"/>
    <mergeCell ref="D7:G7"/>
    <mergeCell ref="A2:G2"/>
    <mergeCell ref="A9:B9"/>
    <mergeCell ref="E20:G20"/>
    <mergeCell ref="A4:G4"/>
    <mergeCell ref="D5:G5"/>
    <mergeCell ref="A19:G19"/>
    <mergeCell ref="A6:B6"/>
    <mergeCell ref="C20:D20"/>
    <mergeCell ref="A7:B7"/>
    <mergeCell ref="A11:G11"/>
    <mergeCell ref="A32:G32"/>
    <mergeCell ref="A24:B24"/>
    <mergeCell ref="D9:G9"/>
    <mergeCell ref="C24:D24"/>
    <mergeCell ref="D8:G8"/>
    <mergeCell ref="A31:G31"/>
    <mergeCell ref="C22:D22"/>
    <mergeCell ref="A21:B21"/>
    <mergeCell ref="A23:B23"/>
    <mergeCell ref="C23:D23"/>
    <mergeCell ref="E24:G24"/>
    <mergeCell ref="E23:G23"/>
    <mergeCell ref="A26:G2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Trang Bìa</vt:lpstr>
      <vt:lpstr>📝 Bảng Chẩn Đoán</vt:lpstr>
      <vt:lpstr>📈 Kết Quả &amp; Chẩn Đoán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Jane Pham // VAN HAI GROUP</cp:lastModifiedBy>
  <dcterms:created xsi:type="dcterms:W3CDTF">2026-03-03T10:12:09Z</dcterms:created>
  <dcterms:modified xsi:type="dcterms:W3CDTF">2026-03-03T12:27:43Z</dcterms:modified>
</cp:coreProperties>
</file>